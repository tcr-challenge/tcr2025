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uyet\Desktop\TCR\TCR Challenge\Challenge TCR\Bang Tong Ket\data\"/>
    </mc:Choice>
  </mc:AlternateContent>
  <bookViews>
    <workbookView xWindow="0" yWindow="0" windowWidth="38400" windowHeight="19125" activeTab="2"/>
  </bookViews>
  <sheets>
    <sheet name="TUẦN 1" sheetId="1" r:id="rId1"/>
    <sheet name="TUẦN 2" sheetId="2" r:id="rId2"/>
    <sheet name="TUẦN 3" sheetId="3" r:id="rId3"/>
    <sheet name="TUẦN 4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3" l="1"/>
  <c r="I6" i="3"/>
  <c r="I8" i="3"/>
  <c r="I10" i="3"/>
  <c r="I12" i="3"/>
  <c r="I14" i="3"/>
  <c r="I16" i="3"/>
  <c r="B20" i="3"/>
  <c r="C20" i="3"/>
  <c r="D20" i="3"/>
  <c r="E20" i="3"/>
  <c r="F20" i="3"/>
  <c r="G20" i="3"/>
  <c r="H20" i="3"/>
  <c r="I28" i="3"/>
  <c r="I30" i="3"/>
  <c r="I32" i="3"/>
  <c r="I34" i="3"/>
  <c r="I36" i="3"/>
  <c r="I38" i="3"/>
  <c r="I40" i="3"/>
  <c r="B43" i="3"/>
  <c r="B44" i="3" s="1"/>
  <c r="C43" i="3"/>
  <c r="D43" i="3"/>
  <c r="E43" i="3"/>
  <c r="F43" i="3"/>
  <c r="G43" i="3"/>
  <c r="H43" i="3"/>
  <c r="H90" i="4"/>
  <c r="G90" i="4"/>
  <c r="F90" i="4"/>
  <c r="E90" i="4"/>
  <c r="D90" i="4"/>
  <c r="C90" i="4"/>
  <c r="B90" i="4"/>
  <c r="I86" i="4"/>
  <c r="I84" i="4"/>
  <c r="I82" i="4"/>
  <c r="I80" i="4"/>
  <c r="I78" i="4"/>
  <c r="I76" i="4"/>
  <c r="I74" i="4"/>
  <c r="H66" i="4"/>
  <c r="G66" i="4"/>
  <c r="F66" i="4"/>
  <c r="E66" i="4"/>
  <c r="D66" i="4"/>
  <c r="C66" i="4"/>
  <c r="B67" i="4" s="1"/>
  <c r="B66" i="4"/>
  <c r="I63" i="4"/>
  <c r="I61" i="4"/>
  <c r="I59" i="4"/>
  <c r="I57" i="4"/>
  <c r="I55" i="4"/>
  <c r="I53" i="4"/>
  <c r="I51" i="4"/>
  <c r="H43" i="4"/>
  <c r="G43" i="4"/>
  <c r="F43" i="4"/>
  <c r="B44" i="4" s="1"/>
  <c r="E43" i="4"/>
  <c r="D43" i="4"/>
  <c r="C43" i="4"/>
  <c r="B43" i="4"/>
  <c r="I40" i="4"/>
  <c r="I38" i="4"/>
  <c r="I36" i="4"/>
  <c r="I34" i="4"/>
  <c r="I32" i="4"/>
  <c r="I30" i="4"/>
  <c r="I28" i="4"/>
  <c r="H20" i="4"/>
  <c r="G20" i="4"/>
  <c r="F20" i="4"/>
  <c r="E20" i="4"/>
  <c r="D20" i="4"/>
  <c r="C20" i="4"/>
  <c r="B20" i="4"/>
  <c r="I16" i="4"/>
  <c r="I14" i="4"/>
  <c r="I12" i="4"/>
  <c r="I10" i="4"/>
  <c r="I8" i="4"/>
  <c r="I6" i="4"/>
  <c r="I4" i="4"/>
  <c r="H89" i="3"/>
  <c r="G89" i="3"/>
  <c r="F89" i="3"/>
  <c r="E89" i="3"/>
  <c r="D89" i="3"/>
  <c r="C89" i="3"/>
  <c r="B89" i="3"/>
  <c r="I86" i="3"/>
  <c r="I84" i="3"/>
  <c r="I82" i="3"/>
  <c r="I80" i="3"/>
  <c r="I78" i="3"/>
  <c r="I76" i="3"/>
  <c r="I74" i="3"/>
  <c r="H66" i="3"/>
  <c r="G66" i="3"/>
  <c r="F66" i="3"/>
  <c r="E66" i="3"/>
  <c r="D66" i="3"/>
  <c r="C66" i="3"/>
  <c r="B66" i="3"/>
  <c r="I63" i="3"/>
  <c r="I61" i="3"/>
  <c r="I59" i="3"/>
  <c r="I57" i="3"/>
  <c r="I55" i="3"/>
  <c r="I53" i="3"/>
  <c r="I51" i="3"/>
  <c r="H90" i="2"/>
  <c r="G90" i="2"/>
  <c r="F90" i="2"/>
  <c r="E90" i="2"/>
  <c r="D90" i="2"/>
  <c r="C90" i="2"/>
  <c r="B90" i="2"/>
  <c r="I86" i="2"/>
  <c r="I84" i="2"/>
  <c r="I82" i="2"/>
  <c r="I80" i="2"/>
  <c r="I78" i="2"/>
  <c r="I76" i="2"/>
  <c r="I74" i="2"/>
  <c r="H66" i="2"/>
  <c r="G66" i="2"/>
  <c r="F66" i="2"/>
  <c r="E66" i="2"/>
  <c r="D66" i="2"/>
  <c r="B67" i="2" s="1"/>
  <c r="C66" i="2"/>
  <c r="B66" i="2"/>
  <c r="I63" i="2"/>
  <c r="I61" i="2"/>
  <c r="I59" i="2"/>
  <c r="I57" i="2"/>
  <c r="I55" i="2"/>
  <c r="I53" i="2"/>
  <c r="I51" i="2"/>
  <c r="H43" i="2"/>
  <c r="G43" i="2"/>
  <c r="F43" i="2"/>
  <c r="E43" i="2"/>
  <c r="D43" i="2"/>
  <c r="C43" i="2"/>
  <c r="B43" i="2"/>
  <c r="I40" i="2"/>
  <c r="I38" i="2"/>
  <c r="I36" i="2"/>
  <c r="I34" i="2"/>
  <c r="I32" i="2"/>
  <c r="I30" i="2"/>
  <c r="I28" i="2"/>
  <c r="H20" i="2"/>
  <c r="G20" i="2"/>
  <c r="F20" i="2"/>
  <c r="E20" i="2"/>
  <c r="D20" i="2"/>
  <c r="C20" i="2"/>
  <c r="B20" i="2"/>
  <c r="I16" i="2"/>
  <c r="I14" i="2"/>
  <c r="I12" i="2"/>
  <c r="I10" i="2"/>
  <c r="I8" i="2"/>
  <c r="I6" i="2"/>
  <c r="I4" i="2"/>
  <c r="I16" i="1"/>
  <c r="I40" i="1"/>
  <c r="I63" i="1"/>
  <c r="I86" i="1"/>
  <c r="H90" i="1"/>
  <c r="G90" i="1"/>
  <c r="F90" i="1"/>
  <c r="E90" i="1"/>
  <c r="D90" i="1"/>
  <c r="C90" i="1"/>
  <c r="B90" i="1"/>
  <c r="I84" i="1"/>
  <c r="I82" i="1"/>
  <c r="I80" i="1"/>
  <c r="I78" i="1"/>
  <c r="I76" i="1"/>
  <c r="I74" i="1"/>
  <c r="H66" i="1"/>
  <c r="G66" i="1"/>
  <c r="F66" i="1"/>
  <c r="E66" i="1"/>
  <c r="D66" i="1"/>
  <c r="C66" i="1"/>
  <c r="B66" i="1"/>
  <c r="I61" i="1"/>
  <c r="I59" i="1"/>
  <c r="I57" i="1"/>
  <c r="I55" i="1"/>
  <c r="I53" i="1"/>
  <c r="I51" i="1"/>
  <c r="B21" i="3" l="1"/>
  <c r="B91" i="2"/>
  <c r="B44" i="2"/>
  <c r="B21" i="2"/>
  <c r="B91" i="1"/>
  <c r="B67" i="1"/>
  <c r="B90" i="3"/>
  <c r="B67" i="3"/>
  <c r="B91" i="4"/>
  <c r="B21" i="4"/>
  <c r="H43" i="1"/>
  <c r="G43" i="1"/>
  <c r="F43" i="1"/>
  <c r="E43" i="1"/>
  <c r="D43" i="1"/>
  <c r="C43" i="1"/>
  <c r="B43" i="1"/>
  <c r="I38" i="1"/>
  <c r="I36" i="1"/>
  <c r="I34" i="1"/>
  <c r="I32" i="1"/>
  <c r="I30" i="1"/>
  <c r="I28" i="1"/>
  <c r="C20" i="1"/>
  <c r="D20" i="1"/>
  <c r="E20" i="1"/>
  <c r="F20" i="1"/>
  <c r="G20" i="1"/>
  <c r="H20" i="1"/>
  <c r="B20" i="1"/>
  <c r="I14" i="1"/>
  <c r="I12" i="1"/>
  <c r="I10" i="1"/>
  <c r="I8" i="1"/>
  <c r="I6" i="1"/>
  <c r="I4" i="1"/>
  <c r="B92" i="1" l="1"/>
  <c r="B92" i="2" s="1"/>
  <c r="B92" i="4"/>
  <c r="B91" i="3"/>
  <c r="B68" i="1"/>
  <c r="B68" i="2" s="1"/>
  <c r="B68" i="3"/>
  <c r="B68" i="4"/>
  <c r="B21" i="1"/>
  <c r="B44" i="1"/>
  <c r="B45" i="1" l="1"/>
  <c r="B45" i="2" s="1"/>
  <c r="B45" i="4"/>
  <c r="B45" i="3"/>
  <c r="B22" i="1"/>
  <c r="B22" i="2" s="1"/>
  <c r="B22" i="4"/>
  <c r="B22" i="3"/>
</calcChain>
</file>

<file path=xl/sharedStrings.xml><?xml version="1.0" encoding="utf-8"?>
<sst xmlns="http://schemas.openxmlformats.org/spreadsheetml/2006/main" count="208" uniqueCount="37">
  <si>
    <t>NGÀY THÁNG</t>
  </si>
  <si>
    <t>Long Bùi</t>
  </si>
  <si>
    <t>Văn Mạnh</t>
  </si>
  <si>
    <t>Ngô Thị Hòa</t>
  </si>
  <si>
    <t>Bích Bo</t>
  </si>
  <si>
    <t>Quốc Cường</t>
  </si>
  <si>
    <t>Tuyết Nga</t>
  </si>
  <si>
    <t>Nguyễn Thủy</t>
  </si>
  <si>
    <t>Tổng ngày</t>
  </si>
  <si>
    <t>Tổng Tuần</t>
  </si>
  <si>
    <t>TỔNG THÁNG</t>
  </si>
  <si>
    <t>Tổng tuần</t>
  </si>
  <si>
    <t>TEAM A</t>
  </si>
  <si>
    <t>TEAM B</t>
  </si>
  <si>
    <t>TEAM C</t>
  </si>
  <si>
    <t>TEAM D</t>
  </si>
  <si>
    <t>Danh Toại</t>
  </si>
  <si>
    <t>Thành Hưng</t>
  </si>
  <si>
    <t>Khánh Ly</t>
  </si>
  <si>
    <t>Thúy Bizfood</t>
  </si>
  <si>
    <t>Đình Thành</t>
  </si>
  <si>
    <t>Phùng Hồng</t>
  </si>
  <si>
    <t>Khánh Beo</t>
  </si>
  <si>
    <t>Quang Phạm</t>
  </si>
  <si>
    <t>Sơn - Ironman</t>
  </si>
  <si>
    <t>Cường Cr</t>
  </si>
  <si>
    <t>Quyetay</t>
  </si>
  <si>
    <t>Trần Huy</t>
  </si>
  <si>
    <t>Hiền Hồ</t>
  </si>
  <si>
    <t>Mạnh Khang</t>
  </si>
  <si>
    <t>Thành Phi</t>
  </si>
  <si>
    <t>Tuấn Nổ</t>
  </si>
  <si>
    <t>Tính Đàm</t>
  </si>
  <si>
    <t>Phúc Trần</t>
  </si>
  <si>
    <t>Anh Mạnh</t>
  </si>
  <si>
    <t>Tuấn Bizfood</t>
  </si>
  <si>
    <t>Nguyễn Thế Toàn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</si>
</sst>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-mm"/>
    <numFmt numFmtId="165" formatCode="#,##0.000"/>
  </numFmts>
  <fonts count="8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8"/>
      <color rgb="FF0000FF"/>
      <name val="Calibri"/>
      <family val="2"/>
      <scheme val="minor"/>
    </font>
    <font>
      <b/>
      <sz val="17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</fills>
  <borders count="36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/>
      <top style="medium">
        <color rgb="FFCCCCCC"/>
      </top>
      <bottom style="thick">
        <color rgb="FF999999"/>
      </bottom>
      <diagonal/>
    </border>
    <border>
      <left style="medium">
        <color rgb="FFCCCCCC"/>
      </left>
      <right/>
      <top style="thick">
        <color rgb="FFA5A5A5"/>
      </top>
      <bottom/>
      <diagonal/>
    </border>
    <border>
      <left style="medium">
        <color rgb="FFCCCCCC"/>
      </left>
      <right/>
      <top/>
      <bottom style="medium">
        <color rgb="FFBFBFBF"/>
      </bottom>
      <diagonal/>
    </border>
    <border>
      <left style="medium">
        <color rgb="FFCCCCCC"/>
      </left>
      <right/>
      <top style="medium">
        <color rgb="FFBFBFBF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theme="0" tint="-0.34998626667073579"/>
      </left>
      <right style="thick">
        <color theme="0" tint="-0.34998626667073579"/>
      </right>
      <top/>
      <bottom style="thin">
        <color theme="0" tint="-0.34998626667073579"/>
      </bottom>
      <diagonal/>
    </border>
    <border>
      <left style="thick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  <border>
      <left style="thick">
        <color theme="0" tint="-0.34998626667073579"/>
      </left>
      <right style="thin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theme="0" tint="-0.34998626667073579"/>
      </right>
      <top style="thick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theme="0" tint="-0.34998626667073579"/>
      </left>
      <right/>
      <top style="thin">
        <color theme="0" tint="-0.34998626667073579"/>
      </top>
      <bottom style="thick">
        <color theme="0" tint="-0.34998626667073579"/>
      </bottom>
      <diagonal/>
    </border>
    <border>
      <left/>
      <right/>
      <top style="thin">
        <color theme="0" tint="-0.34998626667073579"/>
      </top>
      <bottom style="thick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  <border>
      <left style="thick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rgb="FFCCCCCC"/>
      </left>
      <right style="thick">
        <color theme="0" tint="-0.34998626667073579"/>
      </right>
      <top style="medium">
        <color rgb="FFBFBFBF"/>
      </top>
      <bottom/>
      <diagonal/>
    </border>
    <border>
      <left style="medium">
        <color rgb="FFCCCCCC"/>
      </left>
      <right style="thick">
        <color theme="0" tint="-0.34998626667073579"/>
      </right>
      <top/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rgb="FFBFBFBF"/>
      </left>
      <right style="thin">
        <color theme="0" tint="-0.34998626667073579"/>
      </right>
      <top style="thin">
        <color theme="0" tint="-0.34998626667073579"/>
      </top>
      <bottom style="medium">
        <color rgb="FFBFBFBF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rgb="FFBFBFBF"/>
      </bottom>
      <diagonal/>
    </border>
    <border>
      <left style="medium">
        <color rgb="FFCCCCCC"/>
      </left>
      <right style="thick">
        <color rgb="FF999999"/>
      </right>
      <top style="medium">
        <color rgb="FFBFBFBF"/>
      </top>
      <bottom style="medium">
        <color rgb="FFBFBFBF"/>
      </bottom>
      <diagonal/>
    </border>
    <border>
      <left style="medium">
        <color rgb="FFCCCCCC"/>
      </left>
      <right style="thick">
        <color rgb="FF999999"/>
      </right>
      <top style="medium">
        <color rgb="FFCCCCCC"/>
      </top>
      <bottom style="medium">
        <color rgb="FFBFBFBF"/>
      </bottom>
      <diagonal/>
    </border>
    <border>
      <left style="thick">
        <color rgb="FF999999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thick">
        <color rgb="FF999999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/>
      <right style="thick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5" borderId="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" fillId="4" borderId="10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5" xfId="0" applyFont="1" applyBorder="1" applyAlignment="1">
      <alignment vertical="center" wrapText="1"/>
    </xf>
    <xf numFmtId="0" fontId="2" fillId="0" borderId="27" xfId="0" applyFont="1" applyBorder="1" applyAlignment="1">
      <alignment vertical="center" wrapText="1"/>
    </xf>
    <xf numFmtId="2" fontId="2" fillId="4" borderId="9" xfId="0" applyNumberFormat="1" applyFont="1" applyFill="1" applyBorder="1" applyAlignment="1">
      <alignment horizontal="center" vertical="center" wrapText="1"/>
    </xf>
    <xf numFmtId="2" fontId="2" fillId="0" borderId="28" xfId="0" applyNumberFormat="1" applyFont="1" applyBorder="1" applyAlignment="1">
      <alignment horizontal="center" vertical="center" wrapText="1"/>
    </xf>
    <xf numFmtId="2" fontId="2" fillId="0" borderId="9" xfId="0" applyNumberFormat="1" applyFont="1" applyBorder="1" applyAlignment="1">
      <alignment vertical="center" wrapText="1"/>
    </xf>
    <xf numFmtId="2" fontId="2" fillId="4" borderId="9" xfId="0" applyNumberFormat="1" applyFont="1" applyFill="1" applyBorder="1" applyAlignment="1">
      <alignment vertical="center" wrapText="1"/>
    </xf>
    <xf numFmtId="2" fontId="2" fillId="0" borderId="9" xfId="0" applyNumberFormat="1" applyFont="1" applyBorder="1" applyAlignment="1">
      <alignment horizontal="center" vertical="center" wrapText="1"/>
    </xf>
    <xf numFmtId="2" fontId="2" fillId="0" borderId="28" xfId="0" applyNumberFormat="1" applyFont="1" applyBorder="1" applyAlignment="1">
      <alignment vertical="center" wrapText="1"/>
    </xf>
    <xf numFmtId="2" fontId="2" fillId="4" borderId="8" xfId="0" applyNumberFormat="1" applyFont="1" applyFill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2" fillId="0" borderId="28" xfId="0" applyFont="1" applyBorder="1" applyAlignment="1">
      <alignment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vertical="center" wrapText="1"/>
    </xf>
    <xf numFmtId="0" fontId="2" fillId="0" borderId="30" xfId="0" applyFont="1" applyBorder="1" applyAlignment="1">
      <alignment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 wrapText="1"/>
    </xf>
    <xf numFmtId="0" fontId="2" fillId="4" borderId="31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vertical="center" wrapText="1"/>
    </xf>
    <xf numFmtId="0" fontId="2" fillId="4" borderId="25" xfId="0" applyFont="1" applyFill="1" applyBorder="1" applyAlignment="1">
      <alignment vertical="center" wrapText="1"/>
    </xf>
    <xf numFmtId="0" fontId="2" fillId="4" borderId="32" xfId="0" applyFont="1" applyFill="1" applyBorder="1" applyAlignment="1">
      <alignment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2" xfId="0" applyFont="1" applyBorder="1" applyAlignment="1">
      <alignment vertical="center" wrapText="1"/>
    </xf>
    <xf numFmtId="0" fontId="2" fillId="4" borderId="27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 wrapText="1"/>
    </xf>
    <xf numFmtId="0" fontId="2" fillId="4" borderId="32" xfId="0" applyFont="1" applyFill="1" applyBorder="1" applyAlignment="1">
      <alignment horizontal="center" vertical="center" wrapText="1"/>
    </xf>
    <xf numFmtId="0" fontId="2" fillId="8" borderId="26" xfId="0" applyFont="1" applyFill="1" applyBorder="1" applyAlignment="1">
      <alignment horizontal="center" vertical="center" wrapText="1"/>
    </xf>
    <xf numFmtId="0" fontId="2" fillId="8" borderId="24" xfId="0" applyFont="1" applyFill="1" applyBorder="1" applyAlignment="1">
      <alignment horizontal="center" vertical="center" wrapText="1"/>
    </xf>
    <xf numFmtId="0" fontId="2" fillId="8" borderId="31" xfId="0" applyFont="1" applyFill="1" applyBorder="1" applyAlignment="1">
      <alignment horizontal="center" vertical="center" wrapText="1"/>
    </xf>
    <xf numFmtId="0" fontId="2" fillId="8" borderId="27" xfId="0" applyFont="1" applyFill="1" applyBorder="1" applyAlignment="1">
      <alignment vertical="center" wrapText="1"/>
    </xf>
    <xf numFmtId="0" fontId="2" fillId="8" borderId="25" xfId="0" applyFont="1" applyFill="1" applyBorder="1" applyAlignment="1">
      <alignment vertical="center" wrapText="1"/>
    </xf>
    <xf numFmtId="0" fontId="2" fillId="8" borderId="32" xfId="0" applyFont="1" applyFill="1" applyBorder="1" applyAlignment="1">
      <alignment vertical="center" wrapText="1"/>
    </xf>
    <xf numFmtId="0" fontId="2" fillId="8" borderId="27" xfId="0" applyFont="1" applyFill="1" applyBorder="1" applyAlignment="1">
      <alignment horizontal="center" vertical="center" wrapText="1"/>
    </xf>
    <xf numFmtId="0" fontId="2" fillId="8" borderId="25" xfId="0" applyFont="1" applyFill="1" applyBorder="1" applyAlignment="1">
      <alignment horizontal="center" vertical="center" wrapText="1"/>
    </xf>
    <xf numFmtId="0" fontId="2" fillId="8" borderId="3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16" fontId="1" fillId="2" borderId="15" xfId="0" applyNumberFormat="1" applyFont="1" applyFill="1" applyBorder="1" applyAlignment="1">
      <alignment horizontal="center" vertical="center" wrapText="1"/>
    </xf>
    <xf numFmtId="16" fontId="1" fillId="2" borderId="7" xfId="0" applyNumberFormat="1" applyFont="1" applyFill="1" applyBorder="1" applyAlignment="1">
      <alignment horizontal="center" vertical="center" wrapText="1"/>
    </xf>
    <xf numFmtId="164" fontId="1" fillId="2" borderId="12" xfId="0" applyNumberFormat="1" applyFont="1" applyFill="1" applyBorder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164" fontId="1" fillId="2" borderId="13" xfId="0" applyNumberFormat="1" applyFont="1" applyFill="1" applyBorder="1" applyAlignment="1">
      <alignment horizontal="center" vertical="center" wrapText="1"/>
    </xf>
    <xf numFmtId="164" fontId="1" fillId="2" borderId="9" xfId="0" applyNumberFormat="1" applyFont="1" applyFill="1" applyBorder="1" applyAlignment="1">
      <alignment horizontal="center" vertical="center" wrapText="1"/>
    </xf>
    <xf numFmtId="164" fontId="1" fillId="2" borderId="14" xfId="0" applyNumberFormat="1" applyFont="1" applyFill="1" applyBorder="1" applyAlignment="1">
      <alignment horizontal="center" vertical="center" wrapText="1"/>
    </xf>
    <xf numFmtId="164" fontId="1" fillId="2" borderId="10" xfId="0" applyNumberFormat="1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vertical="center" wrapText="1"/>
    </xf>
    <xf numFmtId="0" fontId="2" fillId="3" borderId="23" xfId="0" applyFont="1" applyFill="1" applyBorder="1" applyAlignment="1">
      <alignment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165" fontId="6" fillId="0" borderId="17" xfId="0" applyNumberFormat="1" applyFont="1" applyBorder="1" applyAlignment="1">
      <alignment horizontal="center" vertical="center" wrapText="1"/>
    </xf>
    <xf numFmtId="165" fontId="6" fillId="0" borderId="18" xfId="0" applyNumberFormat="1" applyFont="1" applyBorder="1" applyAlignment="1">
      <alignment horizontal="center" vertical="center" wrapText="1"/>
    </xf>
    <xf numFmtId="165" fontId="6" fillId="0" borderId="19" xfId="0" applyNumberFormat="1" applyFont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 wrapText="1"/>
    </xf>
    <xf numFmtId="0" fontId="4" fillId="6" borderId="21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2" fillId="4" borderId="33" xfId="0" applyFont="1" applyFill="1" applyBorder="1" applyAlignment="1">
      <alignment horizontal="center" vertical="center" wrapText="1"/>
    </xf>
    <xf numFmtId="0" fontId="2" fillId="4" borderId="34" xfId="0" applyFont="1" applyFill="1" applyBorder="1" applyAlignment="1">
      <alignment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4" xfId="0" applyFont="1" applyBorder="1" applyAlignment="1">
      <alignment vertical="center" wrapText="1"/>
    </xf>
    <xf numFmtId="0" fontId="2" fillId="4" borderId="34" xfId="0" applyFont="1" applyFill="1" applyBorder="1" applyAlignment="1">
      <alignment horizontal="center" vertical="center" wrapText="1"/>
    </xf>
    <xf numFmtId="0" fontId="2" fillId="9" borderId="34" xfId="0" applyFont="1" applyFill="1" applyBorder="1" applyAlignment="1">
      <alignment horizontal="center" vertical="center" wrapText="1"/>
    </xf>
    <xf numFmtId="0" fontId="2" fillId="9" borderId="25" xfId="0" applyFont="1" applyFill="1" applyBorder="1" applyAlignment="1">
      <alignment horizontal="center" vertical="center" wrapText="1"/>
    </xf>
    <xf numFmtId="165" fontId="6" fillId="0" borderId="3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topLeftCell="A7" zoomScale="145" zoomScaleNormal="145" workbookViewId="0">
      <selection activeCell="J67" sqref="J67"/>
    </sheetView>
  </sheetViews>
  <sheetFormatPr defaultRowHeight="15" x14ac:dyDescent="0.25"/>
  <cols>
    <col min="1" max="1" width="16.42578125" bestFit="1" customWidth="1"/>
    <col min="2" max="7" width="9.140625" style="19"/>
    <col min="9" max="9" width="17.7109375" customWidth="1"/>
  </cols>
  <sheetData>
    <row r="1" spans="1:9" ht="37.5" customHeight="1" thickBot="1" x14ac:dyDescent="0.3">
      <c r="A1" s="63" t="s">
        <v>12</v>
      </c>
      <c r="B1" s="63"/>
      <c r="C1" s="63"/>
      <c r="D1" s="63"/>
      <c r="E1" s="63"/>
      <c r="F1" s="63"/>
      <c r="G1" s="63"/>
      <c r="H1" s="63"/>
      <c r="I1" s="63"/>
    </row>
    <row r="2" spans="1:9" ht="31.5" customHeight="1" thickTop="1" x14ac:dyDescent="0.25">
      <c r="A2" s="61" t="s">
        <v>0</v>
      </c>
      <c r="B2" s="66">
        <v>46379</v>
      </c>
      <c r="C2" s="68">
        <v>46380</v>
      </c>
      <c r="D2" s="68">
        <v>46381</v>
      </c>
      <c r="E2" s="68">
        <v>46382</v>
      </c>
      <c r="F2" s="68">
        <v>46383</v>
      </c>
      <c r="G2" s="70">
        <v>46384</v>
      </c>
      <c r="H2" s="66"/>
      <c r="I2" s="64" t="s">
        <v>11</v>
      </c>
    </row>
    <row r="3" spans="1:9" ht="15.75" thickBot="1" x14ac:dyDescent="0.3">
      <c r="A3" s="62"/>
      <c r="B3" s="67"/>
      <c r="C3" s="69"/>
      <c r="D3" s="69"/>
      <c r="E3" s="69"/>
      <c r="F3" s="69"/>
      <c r="G3" s="71"/>
      <c r="H3" s="67"/>
      <c r="I3" s="65"/>
    </row>
    <row r="4" spans="1:9" x14ac:dyDescent="0.25">
      <c r="A4" s="57" t="s">
        <v>1</v>
      </c>
      <c r="B4" s="11">
        <v>15.01</v>
      </c>
      <c r="C4" s="12">
        <v>16.52</v>
      </c>
      <c r="D4" s="12">
        <v>16.02</v>
      </c>
      <c r="E4" s="12">
        <v>15.12</v>
      </c>
      <c r="F4" s="12">
        <v>18.07</v>
      </c>
      <c r="G4" s="12">
        <v>7.21</v>
      </c>
      <c r="H4" s="12"/>
      <c r="I4" s="20">
        <f>SUM(B4:H5)</f>
        <v>87.949999999999989</v>
      </c>
    </row>
    <row r="5" spans="1:9" ht="15.75" thickBot="1" x14ac:dyDescent="0.3">
      <c r="A5" s="58"/>
      <c r="B5" s="11"/>
      <c r="C5" s="12"/>
      <c r="D5" s="12"/>
      <c r="E5" s="12"/>
      <c r="F5" s="12"/>
      <c r="G5" s="12"/>
      <c r="H5" s="5"/>
      <c r="I5" s="20"/>
    </row>
    <row r="6" spans="1:9" x14ac:dyDescent="0.25">
      <c r="A6" s="57" t="s">
        <v>2</v>
      </c>
      <c r="B6" s="7">
        <v>10.01</v>
      </c>
      <c r="C6" s="8">
        <v>11.21</v>
      </c>
      <c r="D6" s="8">
        <v>12.12</v>
      </c>
      <c r="E6" s="8">
        <v>18.579999999999998</v>
      </c>
      <c r="F6" s="8">
        <v>0.27</v>
      </c>
      <c r="G6" s="8">
        <v>8.77</v>
      </c>
      <c r="H6" s="8"/>
      <c r="I6" s="20">
        <f>SUM(B6:H7)</f>
        <v>88.549999999999983</v>
      </c>
    </row>
    <row r="7" spans="1:9" ht="15.75" thickBot="1" x14ac:dyDescent="0.3">
      <c r="A7" s="58"/>
      <c r="B7" s="7"/>
      <c r="C7" s="8">
        <v>8.58</v>
      </c>
      <c r="D7" s="8">
        <v>7.16</v>
      </c>
      <c r="E7" s="8"/>
      <c r="F7" s="8">
        <v>5.05</v>
      </c>
      <c r="G7" s="8">
        <v>6.8</v>
      </c>
      <c r="H7" s="10"/>
      <c r="I7" s="20"/>
    </row>
    <row r="8" spans="1:9" x14ac:dyDescent="0.25">
      <c r="A8" s="57" t="s">
        <v>3</v>
      </c>
      <c r="B8" s="11">
        <v>10.25</v>
      </c>
      <c r="C8" s="12">
        <v>15.02</v>
      </c>
      <c r="D8" s="12">
        <v>11.02</v>
      </c>
      <c r="E8" s="12">
        <v>11.41</v>
      </c>
      <c r="F8" s="12">
        <v>10.19</v>
      </c>
      <c r="G8" s="12">
        <v>0</v>
      </c>
      <c r="H8" s="12"/>
      <c r="I8" s="20">
        <f>SUM(B8:H9)</f>
        <v>67.040000000000006</v>
      </c>
    </row>
    <row r="9" spans="1:9" ht="15.75" thickBot="1" x14ac:dyDescent="0.3">
      <c r="A9" s="58"/>
      <c r="B9" s="11"/>
      <c r="C9" s="12"/>
      <c r="D9" s="12">
        <v>2.86</v>
      </c>
      <c r="E9" s="12"/>
      <c r="F9" s="12">
        <v>6.29</v>
      </c>
      <c r="G9" s="12"/>
      <c r="H9" s="5"/>
      <c r="I9" s="20"/>
    </row>
    <row r="10" spans="1:9" x14ac:dyDescent="0.25">
      <c r="A10" s="57" t="s">
        <v>4</v>
      </c>
      <c r="B10" s="7">
        <v>0</v>
      </c>
      <c r="C10" s="8">
        <v>9.4600000000000009</v>
      </c>
      <c r="D10" s="8">
        <v>0</v>
      </c>
      <c r="E10" s="8">
        <v>12.21</v>
      </c>
      <c r="F10" s="8">
        <v>15.34</v>
      </c>
      <c r="G10" s="8">
        <v>0</v>
      </c>
      <c r="H10" s="8"/>
      <c r="I10" s="20">
        <f>SUM(B10:H11)</f>
        <v>37.010000000000005</v>
      </c>
    </row>
    <row r="11" spans="1:9" ht="15.75" thickBot="1" x14ac:dyDescent="0.3">
      <c r="A11" s="58"/>
      <c r="B11" s="7"/>
      <c r="C11" s="8"/>
      <c r="D11" s="8"/>
      <c r="E11" s="8"/>
      <c r="F11" s="8"/>
      <c r="G11" s="8"/>
      <c r="H11" s="10"/>
      <c r="I11" s="20"/>
    </row>
    <row r="12" spans="1:9" x14ac:dyDescent="0.25">
      <c r="A12" s="57" t="s">
        <v>5</v>
      </c>
      <c r="B12" s="11">
        <v>11</v>
      </c>
      <c r="C12" s="12">
        <v>0</v>
      </c>
      <c r="D12" s="12">
        <v>10.039999999999999</v>
      </c>
      <c r="E12" s="12">
        <v>11.09</v>
      </c>
      <c r="F12" s="12">
        <v>0</v>
      </c>
      <c r="G12" s="12">
        <v>16.03</v>
      </c>
      <c r="H12" s="12"/>
      <c r="I12" s="20">
        <f>SUM(B12:H13)</f>
        <v>48.16</v>
      </c>
    </row>
    <row r="13" spans="1:9" ht="15.75" thickBot="1" x14ac:dyDescent="0.3">
      <c r="A13" s="58"/>
      <c r="B13" s="11"/>
      <c r="C13" s="12"/>
      <c r="D13" s="12"/>
      <c r="E13" s="12"/>
      <c r="F13" s="12"/>
      <c r="G13" s="12"/>
      <c r="H13" s="5"/>
      <c r="I13" s="20"/>
    </row>
    <row r="14" spans="1:9" x14ac:dyDescent="0.25">
      <c r="A14" s="57" t="s">
        <v>6</v>
      </c>
      <c r="B14" s="7">
        <v>8.08</v>
      </c>
      <c r="C14" s="8">
        <v>3.26</v>
      </c>
      <c r="D14" s="8">
        <v>8.43</v>
      </c>
      <c r="E14" s="8">
        <v>4.3</v>
      </c>
      <c r="F14" s="8">
        <v>0</v>
      </c>
      <c r="G14" s="8">
        <v>0</v>
      </c>
      <c r="H14" s="8"/>
      <c r="I14" s="20">
        <f>SUM(B14:H15)</f>
        <v>24.07</v>
      </c>
    </row>
    <row r="15" spans="1:9" ht="15.75" thickBot="1" x14ac:dyDescent="0.3">
      <c r="A15" s="58"/>
      <c r="B15" s="7"/>
      <c r="C15" s="8"/>
      <c r="D15" s="8"/>
      <c r="E15" s="8"/>
      <c r="F15" s="8"/>
      <c r="G15" s="8"/>
      <c r="H15" s="10"/>
      <c r="I15" s="20"/>
    </row>
    <row r="16" spans="1:9" x14ac:dyDescent="0.25">
      <c r="A16" s="57" t="s">
        <v>7</v>
      </c>
      <c r="B16" s="11">
        <v>10.6</v>
      </c>
      <c r="C16" s="12">
        <v>6.86</v>
      </c>
      <c r="D16" s="12">
        <v>7.41</v>
      </c>
      <c r="E16" s="12">
        <v>8.33</v>
      </c>
      <c r="F16" s="12">
        <v>6.06</v>
      </c>
      <c r="G16" s="12">
        <v>6.52</v>
      </c>
      <c r="H16" s="12"/>
      <c r="I16" s="20">
        <f>SUM(B16:H19)</f>
        <v>63.290000000000006</v>
      </c>
    </row>
    <row r="17" spans="1:9" ht="15.75" thickBot="1" x14ac:dyDescent="0.3">
      <c r="A17" s="58"/>
      <c r="B17" s="11"/>
      <c r="C17" s="12"/>
      <c r="D17" s="12"/>
      <c r="E17" s="12"/>
      <c r="F17" s="12">
        <v>9.17</v>
      </c>
      <c r="G17" s="12">
        <v>8.34</v>
      </c>
      <c r="H17" s="12"/>
      <c r="I17" s="6"/>
    </row>
    <row r="18" spans="1:9" ht="15.75" thickBot="1" x14ac:dyDescent="0.3">
      <c r="A18" s="18"/>
      <c r="B18" s="11"/>
      <c r="C18" s="12"/>
      <c r="D18" s="12"/>
      <c r="E18" s="12"/>
      <c r="F18" s="12"/>
      <c r="G18" s="12"/>
      <c r="H18" s="12"/>
      <c r="I18" s="6"/>
    </row>
    <row r="19" spans="1:9" ht="15.75" thickBot="1" x14ac:dyDescent="0.3">
      <c r="A19" s="18"/>
      <c r="B19" s="11"/>
      <c r="C19" s="12"/>
      <c r="D19" s="12"/>
      <c r="E19" s="12"/>
      <c r="F19" s="12"/>
      <c r="G19" s="12"/>
      <c r="H19" s="12"/>
      <c r="I19" s="6"/>
    </row>
    <row r="20" spans="1:9" ht="15.75" thickBot="1" x14ac:dyDescent="0.3">
      <c r="A20" s="1" t="s">
        <v>8</v>
      </c>
      <c r="B20" s="13">
        <f>SUM(B4:B19)</f>
        <v>64.949999999999989</v>
      </c>
      <c r="C20" s="14">
        <f t="shared" ref="C20:H20" si="0">SUM(C4:C19)</f>
        <v>70.91</v>
      </c>
      <c r="D20" s="14">
        <f t="shared" si="0"/>
        <v>75.059999999999988</v>
      </c>
      <c r="E20" s="14">
        <f t="shared" si="0"/>
        <v>81.039999999999992</v>
      </c>
      <c r="F20" s="14">
        <f t="shared" si="0"/>
        <v>70.44</v>
      </c>
      <c r="G20" s="14">
        <f t="shared" si="0"/>
        <v>53.67</v>
      </c>
      <c r="H20" s="14">
        <f t="shared" si="0"/>
        <v>0</v>
      </c>
      <c r="I20" s="15"/>
    </row>
    <row r="21" spans="1:9" ht="24" thickBot="1" x14ac:dyDescent="0.3">
      <c r="A21" s="2" t="s">
        <v>9</v>
      </c>
      <c r="B21" s="59">
        <f>SUM(B20:H20)</f>
        <v>416.06999999999994</v>
      </c>
      <c r="C21" s="60"/>
      <c r="D21" s="60"/>
      <c r="E21" s="60"/>
      <c r="F21" s="60"/>
      <c r="G21" s="60"/>
      <c r="H21" s="60"/>
      <c r="I21" s="16"/>
    </row>
    <row r="22" spans="1:9" ht="45.75" thickBot="1" x14ac:dyDescent="0.3">
      <c r="A22" s="3" t="s">
        <v>10</v>
      </c>
      <c r="B22" s="74">
        <f>B21</f>
        <v>416.06999999999994</v>
      </c>
      <c r="C22" s="75"/>
      <c r="D22" s="75"/>
      <c r="E22" s="75"/>
      <c r="F22" s="75"/>
      <c r="G22" s="75"/>
      <c r="H22" s="76"/>
      <c r="I22" s="17"/>
    </row>
    <row r="23" spans="1:9" ht="15.75" thickTop="1" x14ac:dyDescent="0.25"/>
    <row r="25" spans="1:9" ht="27" thickBot="1" x14ac:dyDescent="0.3">
      <c r="A25" s="63" t="s">
        <v>13</v>
      </c>
      <c r="B25" s="63"/>
      <c r="C25" s="63"/>
      <c r="D25" s="63"/>
      <c r="E25" s="63"/>
      <c r="F25" s="63"/>
      <c r="G25" s="63"/>
      <c r="H25" s="63"/>
      <c r="I25" s="63"/>
    </row>
    <row r="26" spans="1:9" ht="15.75" thickTop="1" x14ac:dyDescent="0.25">
      <c r="A26" s="61" t="s">
        <v>0</v>
      </c>
      <c r="B26" s="66">
        <v>46379</v>
      </c>
      <c r="C26" s="68">
        <v>46380</v>
      </c>
      <c r="D26" s="68">
        <v>46381</v>
      </c>
      <c r="E26" s="68">
        <v>46382</v>
      </c>
      <c r="F26" s="68">
        <v>46383</v>
      </c>
      <c r="G26" s="68">
        <v>46384</v>
      </c>
      <c r="H26" s="68"/>
      <c r="I26" s="64" t="s">
        <v>11</v>
      </c>
    </row>
    <row r="27" spans="1:9" ht="15.75" thickBot="1" x14ac:dyDescent="0.3">
      <c r="A27" s="62"/>
      <c r="B27" s="67"/>
      <c r="C27" s="69"/>
      <c r="D27" s="69"/>
      <c r="E27" s="69"/>
      <c r="F27" s="69"/>
      <c r="G27" s="69"/>
      <c r="H27" s="69"/>
      <c r="I27" s="65"/>
    </row>
    <row r="28" spans="1:9" x14ac:dyDescent="0.25">
      <c r="A28" s="72" t="s">
        <v>16</v>
      </c>
      <c r="B28" s="7">
        <v>15.08</v>
      </c>
      <c r="C28" s="8">
        <v>18.13</v>
      </c>
      <c r="D28" s="8">
        <v>20.41</v>
      </c>
      <c r="E28" s="8">
        <v>15.5</v>
      </c>
      <c r="F28" s="8">
        <v>22.13</v>
      </c>
      <c r="G28" s="8">
        <v>42.22</v>
      </c>
      <c r="H28" s="12"/>
      <c r="I28" s="20">
        <f>SUM(B28:H29)</f>
        <v>187.60999999999996</v>
      </c>
    </row>
    <row r="29" spans="1:9" ht="15.75" thickBot="1" x14ac:dyDescent="0.3">
      <c r="A29" s="73"/>
      <c r="B29" s="7">
        <v>10.23</v>
      </c>
      <c r="C29" s="8">
        <v>12.14</v>
      </c>
      <c r="D29" s="8">
        <v>16.010000000000002</v>
      </c>
      <c r="E29" s="8">
        <v>15.76</v>
      </c>
      <c r="F29" s="10"/>
      <c r="G29" s="10"/>
      <c r="H29" s="5"/>
      <c r="I29" s="20"/>
    </row>
    <row r="30" spans="1:9" x14ac:dyDescent="0.25">
      <c r="A30" s="72" t="s">
        <v>17</v>
      </c>
      <c r="B30" s="7">
        <v>25.01</v>
      </c>
      <c r="C30" s="8">
        <v>10.26</v>
      </c>
      <c r="D30" s="8">
        <v>0</v>
      </c>
      <c r="E30" s="8">
        <v>0</v>
      </c>
      <c r="F30" s="8">
        <v>0</v>
      </c>
      <c r="G30" s="8">
        <v>0</v>
      </c>
      <c r="H30" s="8"/>
      <c r="I30" s="20">
        <f>SUM(B30:H31)</f>
        <v>35.270000000000003</v>
      </c>
    </row>
    <row r="31" spans="1:9" ht="15.75" thickBot="1" x14ac:dyDescent="0.3">
      <c r="A31" s="73"/>
      <c r="B31" s="9"/>
      <c r="C31" s="10"/>
      <c r="D31" s="10"/>
      <c r="E31" s="10"/>
      <c r="F31" s="10"/>
      <c r="G31" s="10"/>
      <c r="H31" s="10"/>
      <c r="I31" s="20"/>
    </row>
    <row r="32" spans="1:9" x14ac:dyDescent="0.25">
      <c r="A32" s="72" t="s">
        <v>18</v>
      </c>
      <c r="B32" s="7">
        <v>6.31</v>
      </c>
      <c r="C32" s="8">
        <v>8.4499999999999993</v>
      </c>
      <c r="D32" s="8">
        <v>9.11</v>
      </c>
      <c r="E32" s="8">
        <v>10.76</v>
      </c>
      <c r="F32" s="8">
        <v>10.45</v>
      </c>
      <c r="G32" s="8">
        <v>0</v>
      </c>
      <c r="H32" s="12"/>
      <c r="I32" s="20">
        <f>SUM(B32:H33)</f>
        <v>45.08</v>
      </c>
    </row>
    <row r="33" spans="1:9" ht="15.75" thickBot="1" x14ac:dyDescent="0.3">
      <c r="A33" s="73"/>
      <c r="B33" s="9"/>
      <c r="C33" s="10"/>
      <c r="D33" s="10"/>
      <c r="E33" s="10"/>
      <c r="F33" s="10"/>
      <c r="G33" s="10"/>
      <c r="H33" s="5"/>
      <c r="I33" s="20"/>
    </row>
    <row r="34" spans="1:9" x14ac:dyDescent="0.25">
      <c r="A34" s="72" t="s">
        <v>19</v>
      </c>
      <c r="B34" s="7">
        <v>12.2</v>
      </c>
      <c r="C34" s="8">
        <v>12.24</v>
      </c>
      <c r="D34" s="8">
        <v>14.42</v>
      </c>
      <c r="E34" s="8">
        <v>15.51</v>
      </c>
      <c r="F34" s="8">
        <v>11.01</v>
      </c>
      <c r="G34" s="8">
        <v>23.32</v>
      </c>
      <c r="H34" s="8"/>
      <c r="I34" s="20">
        <f>SUM(B34:H35)</f>
        <v>88.699999999999989</v>
      </c>
    </row>
    <row r="35" spans="1:9" ht="15.75" thickBot="1" x14ac:dyDescent="0.3">
      <c r="A35" s="73"/>
      <c r="B35" s="9"/>
      <c r="C35" s="10"/>
      <c r="D35" s="10"/>
      <c r="E35" s="10"/>
      <c r="F35" s="10"/>
      <c r="G35" s="10"/>
      <c r="H35" s="10"/>
      <c r="I35" s="20"/>
    </row>
    <row r="36" spans="1:9" x14ac:dyDescent="0.25">
      <c r="A36" s="72" t="s">
        <v>20</v>
      </c>
      <c r="B36" s="7">
        <v>11.03</v>
      </c>
      <c r="C36" s="8">
        <v>11.02</v>
      </c>
      <c r="D36" s="8">
        <v>12.03</v>
      </c>
      <c r="E36" s="8">
        <v>11.01</v>
      </c>
      <c r="F36" s="8">
        <v>0</v>
      </c>
      <c r="G36" s="8">
        <v>23.32</v>
      </c>
      <c r="H36" s="12"/>
      <c r="I36" s="20">
        <f>SUM(B36:H37)</f>
        <v>68.41</v>
      </c>
    </row>
    <row r="37" spans="1:9" ht="15.75" thickBot="1" x14ac:dyDescent="0.3">
      <c r="A37" s="73"/>
      <c r="B37" s="9"/>
      <c r="C37" s="10"/>
      <c r="D37" s="10"/>
      <c r="E37" s="10"/>
      <c r="F37" s="10"/>
      <c r="G37" s="10"/>
      <c r="H37" s="5"/>
      <c r="I37" s="20"/>
    </row>
    <row r="38" spans="1:9" x14ac:dyDescent="0.25">
      <c r="A38" s="72" t="s">
        <v>21</v>
      </c>
      <c r="B38" s="7">
        <v>0</v>
      </c>
      <c r="C38" s="8">
        <v>0</v>
      </c>
      <c r="D38" s="8">
        <v>8.09</v>
      </c>
      <c r="E38" s="8">
        <v>10.01</v>
      </c>
      <c r="F38" s="8">
        <v>11.05</v>
      </c>
      <c r="G38" s="8">
        <v>10.65</v>
      </c>
      <c r="H38" s="8"/>
      <c r="I38" s="20">
        <f>SUM(B38:H39)</f>
        <v>47.92</v>
      </c>
    </row>
    <row r="39" spans="1:9" ht="15.75" thickBot="1" x14ac:dyDescent="0.3">
      <c r="A39" s="73"/>
      <c r="B39" s="9"/>
      <c r="C39" s="10"/>
      <c r="D39" s="10"/>
      <c r="E39" s="10"/>
      <c r="F39" s="10"/>
      <c r="G39" s="8">
        <v>8.1199999999999992</v>
      </c>
      <c r="H39" s="10"/>
      <c r="I39" s="20"/>
    </row>
    <row r="40" spans="1:9" x14ac:dyDescent="0.25">
      <c r="A40" s="72" t="s">
        <v>22</v>
      </c>
      <c r="B40" s="7">
        <v>15.02</v>
      </c>
      <c r="C40" s="8">
        <v>7.36</v>
      </c>
      <c r="D40" s="8">
        <v>10.02</v>
      </c>
      <c r="E40" s="8">
        <v>10</v>
      </c>
      <c r="F40" s="8">
        <v>15.01</v>
      </c>
      <c r="G40" s="8">
        <v>0</v>
      </c>
      <c r="H40" s="12"/>
      <c r="I40" s="20">
        <f>SUM(B40:H42)</f>
        <v>57.41</v>
      </c>
    </row>
    <row r="41" spans="1:9" ht="15.75" thickBot="1" x14ac:dyDescent="0.3">
      <c r="A41" s="73"/>
      <c r="B41" s="11"/>
      <c r="C41" s="12"/>
      <c r="D41" s="12"/>
      <c r="E41" s="12"/>
      <c r="F41" s="12"/>
      <c r="G41" s="12"/>
      <c r="H41" s="12"/>
      <c r="I41" s="6"/>
    </row>
    <row r="42" spans="1:9" ht="15.75" thickBot="1" x14ac:dyDescent="0.3">
      <c r="A42" s="18"/>
      <c r="B42" s="11"/>
      <c r="C42" s="12"/>
      <c r="D42" s="12"/>
      <c r="E42" s="12"/>
      <c r="F42" s="12"/>
      <c r="G42" s="12"/>
      <c r="H42" s="12"/>
      <c r="I42" s="6"/>
    </row>
    <row r="43" spans="1:9" ht="15.75" thickBot="1" x14ac:dyDescent="0.3">
      <c r="A43" s="1" t="s">
        <v>8</v>
      </c>
      <c r="B43" s="13">
        <f>SUM(B28:B42)</f>
        <v>94.88000000000001</v>
      </c>
      <c r="C43" s="14">
        <f t="shared" ref="C43" si="1">SUM(C28:C42)</f>
        <v>79.600000000000009</v>
      </c>
      <c r="D43" s="14">
        <f t="shared" ref="D43" si="2">SUM(D28:D42)</f>
        <v>90.09</v>
      </c>
      <c r="E43" s="14">
        <f t="shared" ref="E43" si="3">SUM(E28:E42)</f>
        <v>88.55</v>
      </c>
      <c r="F43" s="14">
        <f t="shared" ref="F43" si="4">SUM(F28:F42)</f>
        <v>69.650000000000006</v>
      </c>
      <c r="G43" s="14">
        <f t="shared" ref="G43" si="5">SUM(G28:G42)</f>
        <v>107.63</v>
      </c>
      <c r="H43" s="14">
        <f t="shared" ref="H43" si="6">SUM(H28:H42)</f>
        <v>0</v>
      </c>
      <c r="I43" s="15"/>
    </row>
    <row r="44" spans="1:9" ht="24" thickBot="1" x14ac:dyDescent="0.3">
      <c r="A44" s="2" t="s">
        <v>9</v>
      </c>
      <c r="B44" s="59">
        <f>SUM(B43:H43)</f>
        <v>530.40000000000009</v>
      </c>
      <c r="C44" s="60"/>
      <c r="D44" s="60"/>
      <c r="E44" s="60"/>
      <c r="F44" s="60"/>
      <c r="G44" s="60"/>
      <c r="H44" s="60"/>
      <c r="I44" s="16"/>
    </row>
    <row r="45" spans="1:9" ht="45.75" thickBot="1" x14ac:dyDescent="0.3">
      <c r="A45" s="3" t="s">
        <v>10</v>
      </c>
      <c r="B45" s="74">
        <f>B44</f>
        <v>530.40000000000009</v>
      </c>
      <c r="C45" s="75"/>
      <c r="D45" s="75"/>
      <c r="E45" s="75"/>
      <c r="F45" s="75"/>
      <c r="G45" s="75"/>
      <c r="H45" s="76"/>
      <c r="I45" s="17"/>
    </row>
    <row r="46" spans="1:9" ht="15.75" thickTop="1" x14ac:dyDescent="0.25"/>
    <row r="48" spans="1:9" ht="27" thickBot="1" x14ac:dyDescent="0.3">
      <c r="A48" s="63" t="s">
        <v>14</v>
      </c>
      <c r="B48" s="63"/>
      <c r="C48" s="63"/>
      <c r="D48" s="63"/>
      <c r="E48" s="63"/>
      <c r="F48" s="63"/>
      <c r="G48" s="63"/>
      <c r="H48" s="63"/>
      <c r="I48" s="63"/>
    </row>
    <row r="49" spans="1:9" ht="15.75" thickTop="1" x14ac:dyDescent="0.25">
      <c r="A49" s="61" t="s">
        <v>0</v>
      </c>
      <c r="B49" s="66">
        <v>46379</v>
      </c>
      <c r="C49" s="68">
        <v>46380</v>
      </c>
      <c r="D49" s="68">
        <v>46381</v>
      </c>
      <c r="E49" s="68">
        <v>46382</v>
      </c>
      <c r="F49" s="68">
        <v>46383</v>
      </c>
      <c r="G49" s="68">
        <v>46384</v>
      </c>
      <c r="H49" s="68"/>
      <c r="I49" s="64" t="s">
        <v>11</v>
      </c>
    </row>
    <row r="50" spans="1:9" ht="15.75" thickBot="1" x14ac:dyDescent="0.3">
      <c r="A50" s="62"/>
      <c r="B50" s="67"/>
      <c r="C50" s="69"/>
      <c r="D50" s="69"/>
      <c r="E50" s="69"/>
      <c r="F50" s="69"/>
      <c r="G50" s="69"/>
      <c r="H50" s="69"/>
      <c r="I50" s="65"/>
    </row>
    <row r="51" spans="1:9" x14ac:dyDescent="0.25">
      <c r="A51" s="72" t="s">
        <v>23</v>
      </c>
      <c r="B51" s="32">
        <v>15.15</v>
      </c>
      <c r="C51" s="14">
        <v>15.25</v>
      </c>
      <c r="D51" s="14">
        <v>16.3</v>
      </c>
      <c r="E51" s="14">
        <v>15.45</v>
      </c>
      <c r="F51" s="14">
        <v>15.02</v>
      </c>
      <c r="G51" s="14">
        <v>15.01</v>
      </c>
      <c r="H51" s="12"/>
      <c r="I51" s="20">
        <f>SUM(B51:H52)</f>
        <v>92.18</v>
      </c>
    </row>
    <row r="52" spans="1:9" ht="15.75" thickBot="1" x14ac:dyDescent="0.3">
      <c r="A52" s="73"/>
      <c r="B52" s="33"/>
      <c r="C52" s="10"/>
      <c r="D52" s="10"/>
      <c r="E52" s="10"/>
      <c r="F52" s="10"/>
      <c r="G52" s="10"/>
      <c r="H52" s="5"/>
      <c r="I52" s="20"/>
    </row>
    <row r="53" spans="1:9" x14ac:dyDescent="0.25">
      <c r="A53" s="72" t="s">
        <v>24</v>
      </c>
      <c r="B53" s="32">
        <v>10.11</v>
      </c>
      <c r="C53" s="14">
        <v>0</v>
      </c>
      <c r="D53" s="14">
        <v>21.12</v>
      </c>
      <c r="E53" s="14">
        <v>6.05</v>
      </c>
      <c r="F53" s="14">
        <v>21.98</v>
      </c>
      <c r="G53" s="14">
        <v>0</v>
      </c>
      <c r="H53" s="8"/>
      <c r="I53" s="20">
        <f>SUM(B53:H54)</f>
        <v>75.830000000000013</v>
      </c>
    </row>
    <row r="54" spans="1:9" ht="15.75" thickBot="1" x14ac:dyDescent="0.3">
      <c r="A54" s="73"/>
      <c r="B54" s="34">
        <v>5.78</v>
      </c>
      <c r="C54" s="8">
        <v>0</v>
      </c>
      <c r="D54" s="8">
        <v>10.79</v>
      </c>
      <c r="E54" s="10"/>
      <c r="F54" s="10"/>
      <c r="G54" s="10"/>
      <c r="H54" s="10"/>
      <c r="I54" s="20"/>
    </row>
    <row r="55" spans="1:9" x14ac:dyDescent="0.25">
      <c r="A55" s="72" t="s">
        <v>25</v>
      </c>
      <c r="B55" s="32">
        <v>10.01</v>
      </c>
      <c r="C55" s="14">
        <v>21</v>
      </c>
      <c r="D55" s="14">
        <v>16</v>
      </c>
      <c r="E55" s="14">
        <v>0</v>
      </c>
      <c r="F55" s="14">
        <v>30</v>
      </c>
      <c r="G55" s="14">
        <v>0</v>
      </c>
      <c r="H55" s="12"/>
      <c r="I55" s="20">
        <f>SUM(B55:H56)</f>
        <v>77.009999999999991</v>
      </c>
    </row>
    <row r="56" spans="1:9" ht="15.75" thickBot="1" x14ac:dyDescent="0.3">
      <c r="A56" s="73"/>
      <c r="B56" s="33"/>
      <c r="C56" s="10"/>
      <c r="D56" s="10"/>
      <c r="E56" s="10"/>
      <c r="F56" s="10"/>
      <c r="G56" s="10"/>
      <c r="H56" s="5"/>
      <c r="I56" s="20"/>
    </row>
    <row r="57" spans="1:9" x14ac:dyDescent="0.25">
      <c r="A57" s="72" t="s">
        <v>26</v>
      </c>
      <c r="B57" s="32">
        <v>16.29</v>
      </c>
      <c r="C57" s="14">
        <v>0</v>
      </c>
      <c r="D57" s="14">
        <v>0</v>
      </c>
      <c r="E57" s="14">
        <v>8.0500000000000007</v>
      </c>
      <c r="F57" s="14">
        <v>0</v>
      </c>
      <c r="G57" s="14">
        <v>22.95</v>
      </c>
      <c r="H57" s="8"/>
      <c r="I57" s="20">
        <f>SUM(B57:H58)</f>
        <v>47.29</v>
      </c>
    </row>
    <row r="58" spans="1:9" ht="15.75" thickBot="1" x14ac:dyDescent="0.3">
      <c r="A58" s="73"/>
      <c r="B58" s="33"/>
      <c r="C58" s="10"/>
      <c r="D58" s="10"/>
      <c r="E58" s="10"/>
      <c r="F58" s="10"/>
      <c r="G58" s="10"/>
      <c r="H58" s="10"/>
      <c r="I58" s="20"/>
    </row>
    <row r="59" spans="1:9" x14ac:dyDescent="0.25">
      <c r="A59" s="72" t="s">
        <v>27</v>
      </c>
      <c r="B59" s="32">
        <v>15.02</v>
      </c>
      <c r="C59" s="14">
        <v>15.67</v>
      </c>
      <c r="D59" s="14">
        <v>0</v>
      </c>
      <c r="E59" s="14">
        <v>11.25</v>
      </c>
      <c r="F59" s="14">
        <v>12.44</v>
      </c>
      <c r="G59" s="14">
        <v>11.06</v>
      </c>
      <c r="H59" s="12"/>
      <c r="I59" s="20">
        <f>SUM(B59:H60)</f>
        <v>65.44</v>
      </c>
    </row>
    <row r="60" spans="1:9" ht="15.75" thickBot="1" x14ac:dyDescent="0.3">
      <c r="A60" s="73"/>
      <c r="B60" s="33"/>
      <c r="C60" s="10"/>
      <c r="D60" s="10"/>
      <c r="E60" s="10"/>
      <c r="F60" s="10"/>
      <c r="G60" s="10"/>
      <c r="H60" s="5"/>
      <c r="I60" s="20"/>
    </row>
    <row r="61" spans="1:9" x14ac:dyDescent="0.25">
      <c r="A61" s="72" t="s">
        <v>28</v>
      </c>
      <c r="B61" s="32">
        <v>7.01</v>
      </c>
      <c r="C61" s="14">
        <v>7.21</v>
      </c>
      <c r="D61" s="14">
        <v>7.18</v>
      </c>
      <c r="E61" s="14">
        <v>7.28</v>
      </c>
      <c r="F61" s="14">
        <v>10.17</v>
      </c>
      <c r="G61" s="14">
        <v>22.88</v>
      </c>
      <c r="H61" s="8"/>
      <c r="I61" s="20">
        <f>SUM(B61:H62)</f>
        <v>84.37</v>
      </c>
    </row>
    <row r="62" spans="1:9" ht="15.75" thickBot="1" x14ac:dyDescent="0.3">
      <c r="A62" s="73"/>
      <c r="B62" s="34">
        <v>5.01</v>
      </c>
      <c r="C62" s="8">
        <v>4.8099999999999996</v>
      </c>
      <c r="D62" s="10"/>
      <c r="E62" s="8">
        <v>5.52</v>
      </c>
      <c r="F62" s="10"/>
      <c r="G62" s="8">
        <v>7.3</v>
      </c>
      <c r="H62" s="10"/>
      <c r="I62" s="20"/>
    </row>
    <row r="63" spans="1:9" x14ac:dyDescent="0.25">
      <c r="A63" s="72" t="s">
        <v>29</v>
      </c>
      <c r="B63" s="32">
        <v>11.03</v>
      </c>
      <c r="C63" s="14">
        <v>5.37</v>
      </c>
      <c r="D63" s="14">
        <v>11.21</v>
      </c>
      <c r="E63" s="14">
        <v>3.42</v>
      </c>
      <c r="F63" s="14">
        <v>10.27</v>
      </c>
      <c r="G63" s="14">
        <v>11.69</v>
      </c>
      <c r="H63" s="12"/>
      <c r="I63" s="20">
        <f>SUM(B63:H65)</f>
        <v>64.039999999999992</v>
      </c>
    </row>
    <row r="64" spans="1:9" ht="15.75" thickBot="1" x14ac:dyDescent="0.3">
      <c r="A64" s="73"/>
      <c r="B64" s="33"/>
      <c r="C64" s="8">
        <v>11.05</v>
      </c>
      <c r="D64" s="10"/>
      <c r="E64" s="10"/>
      <c r="F64" s="10"/>
      <c r="G64" s="10"/>
      <c r="H64" s="12"/>
      <c r="I64" s="6"/>
    </row>
    <row r="65" spans="1:9" ht="15.75" thickBot="1" x14ac:dyDescent="0.3">
      <c r="A65" s="18"/>
      <c r="B65" s="35"/>
      <c r="C65" s="36"/>
      <c r="D65" s="36"/>
      <c r="E65" s="36"/>
      <c r="F65" s="36"/>
      <c r="G65" s="36"/>
      <c r="H65" s="12"/>
      <c r="I65" s="6"/>
    </row>
    <row r="66" spans="1:9" ht="15.75" thickBot="1" x14ac:dyDescent="0.3">
      <c r="A66" s="1" t="s">
        <v>8</v>
      </c>
      <c r="B66" s="13">
        <f>SUM(B51:B65)</f>
        <v>95.410000000000011</v>
      </c>
      <c r="C66" s="14">
        <f t="shared" ref="C66" si="7">SUM(C51:C65)</f>
        <v>80.36</v>
      </c>
      <c r="D66" s="14">
        <f t="shared" ref="D66" si="8">SUM(D51:D65)</f>
        <v>82.600000000000023</v>
      </c>
      <c r="E66" s="14">
        <f t="shared" ref="E66" si="9">SUM(E51:E65)</f>
        <v>57.019999999999996</v>
      </c>
      <c r="F66" s="14">
        <f t="shared" ref="F66" si="10">SUM(F51:F65)</f>
        <v>99.88</v>
      </c>
      <c r="G66" s="14">
        <f t="shared" ref="G66" si="11">SUM(G51:G65)</f>
        <v>90.89</v>
      </c>
      <c r="H66" s="14">
        <f t="shared" ref="H66" si="12">SUM(H51:H65)</f>
        <v>0</v>
      </c>
      <c r="I66" s="15"/>
    </row>
    <row r="67" spans="1:9" ht="24" thickBot="1" x14ac:dyDescent="0.3">
      <c r="A67" s="2" t="s">
        <v>9</v>
      </c>
      <c r="B67" s="59">
        <f>SUM(B66:H66)</f>
        <v>506.15999999999997</v>
      </c>
      <c r="C67" s="60"/>
      <c r="D67" s="60"/>
      <c r="E67" s="60"/>
      <c r="F67" s="60"/>
      <c r="G67" s="60"/>
      <c r="H67" s="60"/>
      <c r="I67" s="16"/>
    </row>
    <row r="68" spans="1:9" ht="45.75" thickBot="1" x14ac:dyDescent="0.3">
      <c r="A68" s="3" t="s">
        <v>10</v>
      </c>
      <c r="B68" s="74">
        <f>B67</f>
        <v>506.15999999999997</v>
      </c>
      <c r="C68" s="75"/>
      <c r="D68" s="75"/>
      <c r="E68" s="75"/>
      <c r="F68" s="75"/>
      <c r="G68" s="75"/>
      <c r="H68" s="76"/>
      <c r="I68" s="17"/>
    </row>
    <row r="69" spans="1:9" ht="15.75" thickTop="1" x14ac:dyDescent="0.25"/>
    <row r="71" spans="1:9" ht="31.5" customHeight="1" thickBot="1" x14ac:dyDescent="0.3">
      <c r="A71" s="63" t="s">
        <v>15</v>
      </c>
      <c r="B71" s="63"/>
      <c r="C71" s="63"/>
      <c r="D71" s="63"/>
      <c r="E71" s="63"/>
      <c r="F71" s="63"/>
      <c r="G71" s="63"/>
      <c r="H71" s="63"/>
      <c r="I71" s="63"/>
    </row>
    <row r="72" spans="1:9" ht="15.75" thickTop="1" x14ac:dyDescent="0.25">
      <c r="A72" s="61" t="s">
        <v>0</v>
      </c>
      <c r="B72" s="66">
        <v>46379</v>
      </c>
      <c r="C72" s="68">
        <v>46380</v>
      </c>
      <c r="D72" s="68">
        <v>46381</v>
      </c>
      <c r="E72" s="68">
        <v>46382</v>
      </c>
      <c r="F72" s="68">
        <v>46383</v>
      </c>
      <c r="G72" s="68">
        <v>46384</v>
      </c>
      <c r="H72" s="68"/>
      <c r="I72" s="64" t="s">
        <v>11</v>
      </c>
    </row>
    <row r="73" spans="1:9" ht="15.75" thickBot="1" x14ac:dyDescent="0.3">
      <c r="A73" s="62"/>
      <c r="B73" s="67"/>
      <c r="C73" s="69"/>
      <c r="D73" s="69"/>
      <c r="E73" s="69"/>
      <c r="F73" s="69"/>
      <c r="G73" s="69"/>
      <c r="H73" s="69"/>
      <c r="I73" s="65"/>
    </row>
    <row r="74" spans="1:9" x14ac:dyDescent="0.25">
      <c r="A74" s="72" t="s">
        <v>30</v>
      </c>
      <c r="B74" s="26">
        <v>19.010000000000002</v>
      </c>
      <c r="C74" s="29">
        <v>15.02</v>
      </c>
      <c r="D74" s="29">
        <v>27.02</v>
      </c>
      <c r="E74" s="29">
        <v>11.01</v>
      </c>
      <c r="F74" s="29">
        <v>21.03</v>
      </c>
      <c r="G74" s="29">
        <v>0</v>
      </c>
      <c r="H74" s="25"/>
      <c r="I74" s="20">
        <f>SUM(B74:H75)</f>
        <v>107.10000000000001</v>
      </c>
    </row>
    <row r="75" spans="1:9" ht="15.75" thickBot="1" x14ac:dyDescent="0.3">
      <c r="A75" s="73"/>
      <c r="B75" s="26">
        <v>14.01</v>
      </c>
      <c r="C75" s="27"/>
      <c r="D75" s="27"/>
      <c r="E75" s="27"/>
      <c r="F75" s="27"/>
      <c r="G75" s="27"/>
      <c r="H75" s="28"/>
      <c r="I75" s="20"/>
    </row>
    <row r="76" spans="1:9" x14ac:dyDescent="0.25">
      <c r="A76" s="72" t="s">
        <v>31</v>
      </c>
      <c r="B76" s="26">
        <v>15.28</v>
      </c>
      <c r="C76" s="29">
        <v>8.68</v>
      </c>
      <c r="D76" s="29">
        <v>11</v>
      </c>
      <c r="E76" s="29">
        <v>16.16</v>
      </c>
      <c r="F76" s="29">
        <v>20.6</v>
      </c>
      <c r="G76" s="29">
        <v>15.16</v>
      </c>
      <c r="H76" s="29"/>
      <c r="I76" s="20">
        <f>SUM(B76:H77)</f>
        <v>97.16</v>
      </c>
    </row>
    <row r="77" spans="1:9" ht="15.75" thickBot="1" x14ac:dyDescent="0.3">
      <c r="A77" s="73"/>
      <c r="B77" s="26">
        <v>10.28</v>
      </c>
      <c r="C77" s="27"/>
      <c r="D77" s="27"/>
      <c r="E77" s="27"/>
      <c r="F77" s="27"/>
      <c r="G77" s="27"/>
      <c r="H77" s="27"/>
      <c r="I77" s="20"/>
    </row>
    <row r="78" spans="1:9" x14ac:dyDescent="0.25">
      <c r="A78" s="72" t="s">
        <v>32</v>
      </c>
      <c r="B78" s="26">
        <v>6.96</v>
      </c>
      <c r="C78" s="29">
        <v>5.26</v>
      </c>
      <c r="D78" s="29">
        <v>0</v>
      </c>
      <c r="E78" s="29">
        <v>10.55</v>
      </c>
      <c r="F78" s="29">
        <v>10.029999999999999</v>
      </c>
      <c r="G78" s="29">
        <v>1.3</v>
      </c>
      <c r="H78" s="25"/>
      <c r="I78" s="20">
        <f>SUM(B78:H79)</f>
        <v>38.759999999999991</v>
      </c>
    </row>
    <row r="79" spans="1:9" ht="15.75" thickBot="1" x14ac:dyDescent="0.3">
      <c r="A79" s="73"/>
      <c r="B79" s="30"/>
      <c r="C79" s="29">
        <v>4.66</v>
      </c>
      <c r="D79" s="27"/>
      <c r="E79" s="27"/>
      <c r="F79" s="27"/>
      <c r="G79" s="27"/>
      <c r="H79" s="28"/>
      <c r="I79" s="20"/>
    </row>
    <row r="80" spans="1:9" x14ac:dyDescent="0.25">
      <c r="A80" s="72" t="s">
        <v>33</v>
      </c>
      <c r="B80" s="26">
        <v>22.01</v>
      </c>
      <c r="C80" s="29">
        <v>13</v>
      </c>
      <c r="D80" s="29">
        <v>15.01</v>
      </c>
      <c r="E80" s="29">
        <v>22.35</v>
      </c>
      <c r="F80" s="29">
        <v>12</v>
      </c>
      <c r="G80" s="29">
        <v>0</v>
      </c>
      <c r="H80" s="29"/>
      <c r="I80" s="20">
        <f>SUM(B80:H81)</f>
        <v>91.37</v>
      </c>
    </row>
    <row r="81" spans="1:9" ht="15.75" thickBot="1" x14ac:dyDescent="0.3">
      <c r="A81" s="73"/>
      <c r="B81" s="26">
        <v>7</v>
      </c>
      <c r="C81" s="29">
        <v>0</v>
      </c>
      <c r="D81" s="27"/>
      <c r="E81" s="27"/>
      <c r="F81" s="27"/>
      <c r="G81" s="27"/>
      <c r="H81" s="27"/>
      <c r="I81" s="20"/>
    </row>
    <row r="82" spans="1:9" x14ac:dyDescent="0.25">
      <c r="A82" s="72" t="s">
        <v>34</v>
      </c>
      <c r="B82" s="26">
        <v>8.5</v>
      </c>
      <c r="C82" s="29">
        <v>10.17</v>
      </c>
      <c r="D82" s="29">
        <v>0</v>
      </c>
      <c r="E82" s="29">
        <v>13.38</v>
      </c>
      <c r="F82" s="29">
        <v>10.86</v>
      </c>
      <c r="G82" s="29">
        <v>0</v>
      </c>
      <c r="H82" s="25"/>
      <c r="I82" s="20">
        <f>SUM(B82:H83)</f>
        <v>42.910000000000004</v>
      </c>
    </row>
    <row r="83" spans="1:9" ht="15.75" thickBot="1" x14ac:dyDescent="0.3">
      <c r="A83" s="73"/>
      <c r="B83" s="30"/>
      <c r="C83" s="27"/>
      <c r="D83" s="27"/>
      <c r="E83" s="27"/>
      <c r="F83" s="27"/>
      <c r="G83" s="27"/>
      <c r="H83" s="28"/>
      <c r="I83" s="20"/>
    </row>
    <row r="84" spans="1:9" x14ac:dyDescent="0.25">
      <c r="A84" s="72" t="s">
        <v>35</v>
      </c>
      <c r="B84" s="26">
        <v>15.23</v>
      </c>
      <c r="C84" s="29">
        <v>15.04</v>
      </c>
      <c r="D84" s="29">
        <v>15.69</v>
      </c>
      <c r="E84" s="29">
        <v>15.3</v>
      </c>
      <c r="F84" s="29">
        <v>15.11</v>
      </c>
      <c r="G84" s="29">
        <v>25.31</v>
      </c>
      <c r="H84" s="29"/>
      <c r="I84" s="20">
        <f>SUM(B84:H85)</f>
        <v>101.68</v>
      </c>
    </row>
    <row r="85" spans="1:9" ht="15.75" thickBot="1" x14ac:dyDescent="0.3">
      <c r="A85" s="73"/>
      <c r="B85" s="30"/>
      <c r="C85" s="27"/>
      <c r="D85" s="27"/>
      <c r="E85" s="27"/>
      <c r="F85" s="27"/>
      <c r="G85" s="27"/>
      <c r="H85" s="27"/>
      <c r="I85" s="20"/>
    </row>
    <row r="86" spans="1:9" x14ac:dyDescent="0.25">
      <c r="A86" s="72" t="s">
        <v>36</v>
      </c>
      <c r="B86" s="26">
        <v>8.0299999999999994</v>
      </c>
      <c r="C86" s="29">
        <v>0</v>
      </c>
      <c r="D86" s="29">
        <v>8.41</v>
      </c>
      <c r="E86" s="29">
        <v>8.6199999999999992</v>
      </c>
      <c r="F86" s="29">
        <v>10.02</v>
      </c>
      <c r="G86" s="29">
        <v>0</v>
      </c>
      <c r="H86" s="25"/>
      <c r="I86" s="20">
        <f>SUM(B86:H89)</f>
        <v>35.08</v>
      </c>
    </row>
    <row r="87" spans="1:9" ht="15.75" thickBot="1" x14ac:dyDescent="0.3">
      <c r="A87" s="73"/>
      <c r="B87" s="30"/>
      <c r="C87" s="27"/>
      <c r="D87" s="27"/>
      <c r="E87" s="27"/>
      <c r="F87" s="27"/>
      <c r="G87" s="27"/>
      <c r="H87" s="25"/>
      <c r="I87" s="20"/>
    </row>
    <row r="88" spans="1:9" ht="15.75" thickBot="1" x14ac:dyDescent="0.3">
      <c r="A88" s="18"/>
      <c r="B88" s="30"/>
      <c r="C88" s="27"/>
      <c r="D88" s="27"/>
      <c r="E88" s="27"/>
      <c r="F88" s="27"/>
      <c r="G88" s="27"/>
      <c r="H88" s="25"/>
      <c r="I88" s="20"/>
    </row>
    <row r="89" spans="1:9" ht="15.75" thickBot="1" x14ac:dyDescent="0.3">
      <c r="A89" s="18"/>
      <c r="B89" s="31"/>
      <c r="C89" s="25"/>
      <c r="D89" s="25"/>
      <c r="E89" s="25"/>
      <c r="F89" s="25"/>
      <c r="G89" s="25"/>
      <c r="H89" s="25"/>
      <c r="I89" s="6"/>
    </row>
    <row r="90" spans="1:9" ht="15.75" thickBot="1" x14ac:dyDescent="0.3">
      <c r="A90" s="1" t="s">
        <v>8</v>
      </c>
      <c r="B90" s="13">
        <f>SUM(B74:B89)</f>
        <v>126.31000000000002</v>
      </c>
      <c r="C90" s="14">
        <f t="shared" ref="C90" si="13">SUM(C74:C89)</f>
        <v>71.830000000000013</v>
      </c>
      <c r="D90" s="14">
        <f t="shared" ref="D90" si="14">SUM(D74:D89)</f>
        <v>77.13</v>
      </c>
      <c r="E90" s="14">
        <f t="shared" ref="E90" si="15">SUM(E74:E89)</f>
        <v>97.37</v>
      </c>
      <c r="F90" s="14">
        <f t="shared" ref="F90" si="16">SUM(F74:F89)</f>
        <v>99.65</v>
      </c>
      <c r="G90" s="14">
        <f t="shared" ref="G90" si="17">SUM(G74:G89)</f>
        <v>41.769999999999996</v>
      </c>
      <c r="H90" s="14">
        <f t="shared" ref="H90" si="18">SUM(H74:H89)</f>
        <v>0</v>
      </c>
      <c r="I90" s="15"/>
    </row>
    <row r="91" spans="1:9" ht="24" thickBot="1" x14ac:dyDescent="0.3">
      <c r="A91" s="2" t="s">
        <v>9</v>
      </c>
      <c r="B91" s="59">
        <f>SUM(B90:H90)</f>
        <v>514.06000000000006</v>
      </c>
      <c r="C91" s="60"/>
      <c r="D91" s="60"/>
      <c r="E91" s="60"/>
      <c r="F91" s="60"/>
      <c r="G91" s="60"/>
      <c r="H91" s="60"/>
      <c r="I91" s="16"/>
    </row>
    <row r="92" spans="1:9" ht="45.75" thickBot="1" x14ac:dyDescent="0.3">
      <c r="A92" s="3" t="s">
        <v>10</v>
      </c>
      <c r="B92" s="74">
        <f>B91</f>
        <v>514.06000000000006</v>
      </c>
      <c r="C92" s="75"/>
      <c r="D92" s="75"/>
      <c r="E92" s="75"/>
      <c r="F92" s="75"/>
      <c r="G92" s="75"/>
      <c r="H92" s="76"/>
      <c r="I92" s="17"/>
    </row>
    <row r="93" spans="1:9" ht="15.75" thickTop="1" x14ac:dyDescent="0.25"/>
  </sheetData>
  <mergeCells count="76">
    <mergeCell ref="A86:A87"/>
    <mergeCell ref="B92:H92"/>
    <mergeCell ref="B91:H91"/>
    <mergeCell ref="A74:A75"/>
    <mergeCell ref="A76:A77"/>
    <mergeCell ref="A80:A81"/>
    <mergeCell ref="A82:A83"/>
    <mergeCell ref="A84:A85"/>
    <mergeCell ref="A78:A79"/>
    <mergeCell ref="B22:H22"/>
    <mergeCell ref="A48:I48"/>
    <mergeCell ref="A49:A50"/>
    <mergeCell ref="B49:B50"/>
    <mergeCell ref="C49:C50"/>
    <mergeCell ref="D49:D50"/>
    <mergeCell ref="E49:E50"/>
    <mergeCell ref="F49:F50"/>
    <mergeCell ref="G49:G50"/>
    <mergeCell ref="H49:H50"/>
    <mergeCell ref="B45:H45"/>
    <mergeCell ref="I49:I50"/>
    <mergeCell ref="A40:A41"/>
    <mergeCell ref="B44:H44"/>
    <mergeCell ref="A28:A29"/>
    <mergeCell ref="A30:A31"/>
    <mergeCell ref="A51:A52"/>
    <mergeCell ref="A53:A54"/>
    <mergeCell ref="A55:A56"/>
    <mergeCell ref="A57:A58"/>
    <mergeCell ref="A71:I71"/>
    <mergeCell ref="A59:A60"/>
    <mergeCell ref="A61:A62"/>
    <mergeCell ref="A63:A64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B67:H67"/>
    <mergeCell ref="B68:H68"/>
    <mergeCell ref="A32:A33"/>
    <mergeCell ref="A34:A35"/>
    <mergeCell ref="A36:A37"/>
    <mergeCell ref="A38:A39"/>
    <mergeCell ref="A25:I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A1:I1"/>
    <mergeCell ref="I2:I3"/>
    <mergeCell ref="H2:H3"/>
    <mergeCell ref="A4:A5"/>
    <mergeCell ref="A6:A7"/>
    <mergeCell ref="B2:B3"/>
    <mergeCell ref="C2:C3"/>
    <mergeCell ref="D2:D3"/>
    <mergeCell ref="E2:E3"/>
    <mergeCell ref="F2:F3"/>
    <mergeCell ref="G2:G3"/>
    <mergeCell ref="A14:A15"/>
    <mergeCell ref="A16:A17"/>
    <mergeCell ref="B21:H21"/>
    <mergeCell ref="A2:A3"/>
    <mergeCell ref="A8:A9"/>
    <mergeCell ref="A10:A11"/>
    <mergeCell ref="A12:A13"/>
  </mergeCells>
  <pageMargins left="0.7" right="0.7" top="0.75" bottom="0.75" header="0.3" footer="0.3"/>
  <pageSetup paperSize="9" orientation="portrait" verticalDpi="0" r:id="rId1"/>
  <ignoredErrors>
    <ignoredError sqref="B20:H2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zoomScale="145" zoomScaleNormal="145" workbookViewId="0">
      <selection activeCell="B92" sqref="B92:H92"/>
    </sheetView>
  </sheetViews>
  <sheetFormatPr defaultRowHeight="15" x14ac:dyDescent="0.25"/>
  <cols>
    <col min="1" max="1" width="16.42578125" bestFit="1" customWidth="1"/>
    <col min="9" max="9" width="17.7109375" customWidth="1"/>
  </cols>
  <sheetData>
    <row r="1" spans="1:9" ht="34.5" customHeight="1" thickBot="1" x14ac:dyDescent="0.3">
      <c r="A1" s="63" t="s">
        <v>12</v>
      </c>
      <c r="B1" s="63"/>
      <c r="C1" s="63"/>
      <c r="D1" s="63"/>
      <c r="E1" s="63"/>
      <c r="F1" s="63"/>
      <c r="G1" s="63"/>
      <c r="H1" s="63"/>
      <c r="I1" s="63"/>
    </row>
    <row r="2" spans="1:9" ht="31.5" customHeight="1" thickTop="1" x14ac:dyDescent="0.25">
      <c r="A2" s="61" t="s">
        <v>0</v>
      </c>
      <c r="B2" s="66">
        <v>46385</v>
      </c>
      <c r="C2" s="68">
        <v>46386</v>
      </c>
      <c r="D2" s="68">
        <v>46387</v>
      </c>
      <c r="E2" s="68">
        <v>46023</v>
      </c>
      <c r="F2" s="68">
        <v>46024</v>
      </c>
      <c r="G2" s="68">
        <v>46025</v>
      </c>
      <c r="H2" s="68">
        <v>46026</v>
      </c>
      <c r="I2" s="64" t="s">
        <v>11</v>
      </c>
    </row>
    <row r="3" spans="1:9" ht="15.75" thickBot="1" x14ac:dyDescent="0.3">
      <c r="A3" s="62"/>
      <c r="B3" s="67"/>
      <c r="C3" s="69"/>
      <c r="D3" s="69"/>
      <c r="E3" s="69"/>
      <c r="F3" s="69"/>
      <c r="G3" s="69"/>
      <c r="H3" s="69"/>
      <c r="I3" s="65"/>
    </row>
    <row r="4" spans="1:9" ht="15.75" thickBot="1" x14ac:dyDescent="0.3">
      <c r="A4" s="57" t="s">
        <v>1</v>
      </c>
      <c r="B4" s="37">
        <v>21.02</v>
      </c>
      <c r="C4" s="38">
        <v>21.01</v>
      </c>
      <c r="D4" s="38">
        <v>11.01</v>
      </c>
      <c r="E4" s="38">
        <v>11.26</v>
      </c>
      <c r="F4" s="38">
        <v>14.11</v>
      </c>
      <c r="G4" s="38">
        <v>23.42</v>
      </c>
      <c r="H4" s="39">
        <v>21.01</v>
      </c>
      <c r="I4" s="20">
        <f>SUM(B4:H5)</f>
        <v>122.84</v>
      </c>
    </row>
    <row r="5" spans="1:9" ht="15.75" thickBot="1" x14ac:dyDescent="0.3">
      <c r="A5" s="58"/>
      <c r="B5" s="40"/>
      <c r="C5" s="41"/>
      <c r="D5" s="41"/>
      <c r="E5" s="41"/>
      <c r="F5" s="41"/>
      <c r="G5" s="41"/>
      <c r="H5" s="42"/>
      <c r="I5" s="20"/>
    </row>
    <row r="6" spans="1:9" ht="15.75" thickBot="1" x14ac:dyDescent="0.3">
      <c r="A6" s="57" t="s">
        <v>2</v>
      </c>
      <c r="B6" s="21">
        <v>10.28</v>
      </c>
      <c r="C6" s="22">
        <v>15</v>
      </c>
      <c r="D6" s="22">
        <v>5.0199999999999996</v>
      </c>
      <c r="E6" s="22">
        <v>20.260000000000002</v>
      </c>
      <c r="F6" s="22">
        <v>0.81</v>
      </c>
      <c r="G6" s="22">
        <v>12.73</v>
      </c>
      <c r="H6" s="43">
        <v>20.29</v>
      </c>
      <c r="I6" s="20">
        <f>SUM(B6:H7)</f>
        <v>106.97000000000003</v>
      </c>
    </row>
    <row r="7" spans="1:9" ht="15.75" thickBot="1" x14ac:dyDescent="0.3">
      <c r="A7" s="58"/>
      <c r="B7" s="24"/>
      <c r="C7" s="22">
        <v>11.46</v>
      </c>
      <c r="D7" s="23"/>
      <c r="E7" s="22">
        <v>1.1200000000000001</v>
      </c>
      <c r="F7" s="22">
        <v>10</v>
      </c>
      <c r="G7" s="23"/>
      <c r="H7" s="44"/>
      <c r="I7" s="20"/>
    </row>
    <row r="8" spans="1:9" ht="15.75" thickBot="1" x14ac:dyDescent="0.3">
      <c r="A8" s="57" t="s">
        <v>3</v>
      </c>
      <c r="B8" s="45">
        <v>11.12</v>
      </c>
      <c r="C8" s="46">
        <v>6.38</v>
      </c>
      <c r="D8" s="46">
        <v>7.13</v>
      </c>
      <c r="E8" s="46">
        <v>12</v>
      </c>
      <c r="F8" s="46">
        <v>15.61</v>
      </c>
      <c r="G8" s="46">
        <v>12.05</v>
      </c>
      <c r="H8" s="47">
        <v>7.58</v>
      </c>
      <c r="I8" s="20">
        <f>SUM(B8:H9)</f>
        <v>77.499999999999986</v>
      </c>
    </row>
    <row r="9" spans="1:9" ht="15.75" thickBot="1" x14ac:dyDescent="0.3">
      <c r="A9" s="58"/>
      <c r="B9" s="45">
        <v>5.63</v>
      </c>
      <c r="C9" s="41"/>
      <c r="D9" s="41"/>
      <c r="E9" s="41"/>
      <c r="F9" s="41"/>
      <c r="G9" s="41"/>
      <c r="H9" s="42"/>
      <c r="I9" s="20"/>
    </row>
    <row r="10" spans="1:9" ht="15.75" thickBot="1" x14ac:dyDescent="0.3">
      <c r="A10" s="57" t="s">
        <v>4</v>
      </c>
      <c r="B10" s="21">
        <v>10.02</v>
      </c>
      <c r="C10" s="22">
        <v>11.02</v>
      </c>
      <c r="D10" s="22">
        <v>0</v>
      </c>
      <c r="E10" s="22">
        <v>20.260000000000002</v>
      </c>
      <c r="F10" s="22">
        <v>10.01</v>
      </c>
      <c r="G10" s="22">
        <v>11.04</v>
      </c>
      <c r="H10" s="43">
        <v>23.28</v>
      </c>
      <c r="I10" s="20">
        <f>SUM(B10:H11)</f>
        <v>92.46</v>
      </c>
    </row>
    <row r="11" spans="1:9" ht="15.75" thickBot="1" x14ac:dyDescent="0.3">
      <c r="A11" s="58"/>
      <c r="B11" s="21">
        <v>6.83</v>
      </c>
      <c r="C11" s="23"/>
      <c r="D11" s="23"/>
      <c r="E11" s="23"/>
      <c r="F11" s="23"/>
      <c r="G11" s="23"/>
      <c r="H11" s="44"/>
      <c r="I11" s="20"/>
    </row>
    <row r="12" spans="1:9" ht="15.75" thickBot="1" x14ac:dyDescent="0.3">
      <c r="A12" s="57" t="s">
        <v>5</v>
      </c>
      <c r="B12" s="45">
        <v>0</v>
      </c>
      <c r="C12" s="46">
        <v>13.55</v>
      </c>
      <c r="D12" s="46">
        <v>0</v>
      </c>
      <c r="E12" s="46">
        <v>0</v>
      </c>
      <c r="F12" s="46">
        <v>15.23</v>
      </c>
      <c r="G12" s="46">
        <v>12.31</v>
      </c>
      <c r="H12" s="47">
        <v>12.24</v>
      </c>
      <c r="I12" s="20">
        <f>SUM(B12:H13)</f>
        <v>53.330000000000005</v>
      </c>
    </row>
    <row r="13" spans="1:9" ht="15.75" thickBot="1" x14ac:dyDescent="0.3">
      <c r="A13" s="58"/>
      <c r="B13" s="40"/>
      <c r="C13" s="41"/>
      <c r="D13" s="41"/>
      <c r="E13" s="41"/>
      <c r="F13" s="41"/>
      <c r="G13" s="41"/>
      <c r="H13" s="42"/>
      <c r="I13" s="20"/>
    </row>
    <row r="14" spans="1:9" ht="15.75" thickBot="1" x14ac:dyDescent="0.3">
      <c r="A14" s="57" t="s">
        <v>6</v>
      </c>
      <c r="B14" s="21">
        <v>4.25</v>
      </c>
      <c r="C14" s="22">
        <v>0</v>
      </c>
      <c r="D14" s="22">
        <v>0</v>
      </c>
      <c r="E14" s="22">
        <v>0</v>
      </c>
      <c r="F14" s="22">
        <v>6.33</v>
      </c>
      <c r="G14" s="22">
        <v>0</v>
      </c>
      <c r="H14" s="43">
        <v>0</v>
      </c>
      <c r="I14" s="20">
        <f>SUM(B14:H15)</f>
        <v>10.58</v>
      </c>
    </row>
    <row r="15" spans="1:9" ht="15.75" thickBot="1" x14ac:dyDescent="0.3">
      <c r="A15" s="58"/>
      <c r="B15" s="24"/>
      <c r="C15" s="23"/>
      <c r="D15" s="23"/>
      <c r="E15" s="23"/>
      <c r="F15" s="23"/>
      <c r="G15" s="23"/>
      <c r="H15" s="44"/>
      <c r="I15" s="20"/>
    </row>
    <row r="16" spans="1:9" ht="15.75" thickBot="1" x14ac:dyDescent="0.3">
      <c r="A16" s="57" t="s">
        <v>7</v>
      </c>
      <c r="B16" s="45">
        <v>2.2330000000000001</v>
      </c>
      <c r="C16" s="46">
        <v>8.2200000000000006</v>
      </c>
      <c r="D16" s="46">
        <v>10.48</v>
      </c>
      <c r="E16" s="46">
        <v>20.260000000000002</v>
      </c>
      <c r="F16" s="46">
        <v>6.07</v>
      </c>
      <c r="G16" s="46">
        <v>7.16</v>
      </c>
      <c r="H16" s="47">
        <v>10.45</v>
      </c>
      <c r="I16" s="20">
        <f>SUM(B16:H19)</f>
        <v>107.72</v>
      </c>
    </row>
    <row r="17" spans="1:9" ht="15.75" thickBot="1" x14ac:dyDescent="0.3">
      <c r="A17" s="58"/>
      <c r="B17" s="45">
        <v>11.91</v>
      </c>
      <c r="C17" s="41"/>
      <c r="D17" s="41"/>
      <c r="E17" s="46">
        <v>2.242</v>
      </c>
      <c r="F17" s="46">
        <v>8.49</v>
      </c>
      <c r="G17" s="46">
        <v>9.15</v>
      </c>
      <c r="H17" s="47">
        <v>1.603</v>
      </c>
      <c r="I17" s="20"/>
    </row>
    <row r="18" spans="1:9" ht="15.75" thickBot="1" x14ac:dyDescent="0.3">
      <c r="A18" s="18"/>
      <c r="B18" s="40"/>
      <c r="C18" s="41"/>
      <c r="D18" s="41"/>
      <c r="E18" s="41"/>
      <c r="F18" s="46">
        <v>0.82199999999999995</v>
      </c>
      <c r="G18" s="46">
        <v>3.71</v>
      </c>
      <c r="H18" s="47">
        <v>4.92</v>
      </c>
      <c r="I18" s="20"/>
    </row>
    <row r="19" spans="1:9" ht="15.75" thickBot="1" x14ac:dyDescent="0.3">
      <c r="A19" s="18"/>
      <c r="B19" s="11"/>
      <c r="C19" s="5"/>
      <c r="D19" s="5"/>
      <c r="E19" s="12"/>
      <c r="F19" s="12"/>
      <c r="G19" s="12"/>
      <c r="H19" s="12"/>
      <c r="I19" s="6"/>
    </row>
    <row r="20" spans="1:9" ht="15.75" thickBot="1" x14ac:dyDescent="0.3">
      <c r="A20" s="1" t="s">
        <v>8</v>
      </c>
      <c r="B20" s="13">
        <f>SUM(B4:B19)</f>
        <v>83.292999999999992</v>
      </c>
      <c r="C20" s="13">
        <f t="shared" ref="C20:H20" si="0">SUM(C4:C19)</f>
        <v>86.64</v>
      </c>
      <c r="D20" s="13">
        <f t="shared" si="0"/>
        <v>33.64</v>
      </c>
      <c r="E20" s="13">
        <f t="shared" si="0"/>
        <v>87.402000000000015</v>
      </c>
      <c r="F20" s="13">
        <f t="shared" si="0"/>
        <v>87.481999999999985</v>
      </c>
      <c r="G20" s="13">
        <f t="shared" si="0"/>
        <v>91.57</v>
      </c>
      <c r="H20" s="13">
        <f t="shared" si="0"/>
        <v>101.37299999999999</v>
      </c>
      <c r="I20" s="15"/>
    </row>
    <row r="21" spans="1:9" ht="24" thickBot="1" x14ac:dyDescent="0.3">
      <c r="A21" s="2" t="s">
        <v>9</v>
      </c>
      <c r="B21" s="59">
        <f>SUM(B20:H20)</f>
        <v>571.4</v>
      </c>
      <c r="C21" s="60"/>
      <c r="D21" s="60"/>
      <c r="E21" s="60"/>
      <c r="F21" s="60"/>
      <c r="G21" s="60"/>
      <c r="H21" s="60"/>
      <c r="I21" s="16"/>
    </row>
    <row r="22" spans="1:9" ht="45.75" thickBot="1" x14ac:dyDescent="0.3">
      <c r="A22" s="3" t="s">
        <v>10</v>
      </c>
      <c r="B22" s="77">
        <f>B21+'TUẦN 1'!B22:H22</f>
        <v>987.46999999999991</v>
      </c>
      <c r="C22" s="78"/>
      <c r="D22" s="78"/>
      <c r="E22" s="78"/>
      <c r="F22" s="78"/>
      <c r="G22" s="78"/>
      <c r="H22" s="79"/>
      <c r="I22" s="17"/>
    </row>
    <row r="23" spans="1:9" ht="15.75" thickTop="1" x14ac:dyDescent="0.25"/>
    <row r="25" spans="1:9" ht="27" thickBot="1" x14ac:dyDescent="0.3">
      <c r="A25" s="63" t="s">
        <v>13</v>
      </c>
      <c r="B25" s="63"/>
      <c r="C25" s="63"/>
      <c r="D25" s="63"/>
      <c r="E25" s="63"/>
      <c r="F25" s="63"/>
      <c r="G25" s="63"/>
      <c r="H25" s="63"/>
      <c r="I25" s="63"/>
    </row>
    <row r="26" spans="1:9" ht="15.75" thickTop="1" x14ac:dyDescent="0.25">
      <c r="A26" s="61" t="s">
        <v>0</v>
      </c>
      <c r="B26" s="66">
        <v>46385</v>
      </c>
      <c r="C26" s="68">
        <v>46386</v>
      </c>
      <c r="D26" s="68">
        <v>46387</v>
      </c>
      <c r="E26" s="68">
        <v>46023</v>
      </c>
      <c r="F26" s="68">
        <v>46024</v>
      </c>
      <c r="G26" s="68">
        <v>46025</v>
      </c>
      <c r="H26" s="68">
        <v>46026</v>
      </c>
      <c r="I26" s="64" t="s">
        <v>11</v>
      </c>
    </row>
    <row r="27" spans="1:9" ht="15.75" thickBot="1" x14ac:dyDescent="0.3">
      <c r="A27" s="62"/>
      <c r="B27" s="67"/>
      <c r="C27" s="69"/>
      <c r="D27" s="69"/>
      <c r="E27" s="69"/>
      <c r="F27" s="69"/>
      <c r="G27" s="69"/>
      <c r="H27" s="69"/>
      <c r="I27" s="65"/>
    </row>
    <row r="28" spans="1:9" ht="15.75" thickBot="1" x14ac:dyDescent="0.3">
      <c r="A28" s="72" t="s">
        <v>16</v>
      </c>
      <c r="B28" s="37">
        <v>15.56</v>
      </c>
      <c r="C28" s="38">
        <v>16.03</v>
      </c>
      <c r="D28" s="38">
        <v>14.21</v>
      </c>
      <c r="E28" s="38">
        <v>20.260000000000002</v>
      </c>
      <c r="F28" s="38">
        <v>16.32</v>
      </c>
      <c r="G28" s="38">
        <v>16.309999999999999</v>
      </c>
      <c r="H28" s="39">
        <v>23.3</v>
      </c>
      <c r="I28" s="20">
        <f>SUM(B28:H29)</f>
        <v>233.89999999999998</v>
      </c>
    </row>
    <row r="29" spans="1:9" ht="15.75" thickBot="1" x14ac:dyDescent="0.3">
      <c r="A29" s="73"/>
      <c r="B29" s="45">
        <v>16.22</v>
      </c>
      <c r="C29" s="46">
        <v>19.399999999999999</v>
      </c>
      <c r="D29" s="46">
        <v>11.62</v>
      </c>
      <c r="E29" s="46">
        <v>17.36</v>
      </c>
      <c r="F29" s="46">
        <v>12.62</v>
      </c>
      <c r="G29" s="46">
        <v>12.16</v>
      </c>
      <c r="H29" s="47">
        <v>22.53</v>
      </c>
      <c r="I29" s="20"/>
    </row>
    <row r="30" spans="1:9" ht="15.75" thickBot="1" x14ac:dyDescent="0.3">
      <c r="A30" s="72" t="s">
        <v>17</v>
      </c>
      <c r="B30" s="21">
        <v>0</v>
      </c>
      <c r="C30" s="22">
        <v>7.21</v>
      </c>
      <c r="D30" s="22">
        <v>6.68</v>
      </c>
      <c r="E30" s="22">
        <v>0</v>
      </c>
      <c r="F30" s="22">
        <v>0</v>
      </c>
      <c r="G30" s="22">
        <v>0</v>
      </c>
      <c r="H30" s="43">
        <v>0</v>
      </c>
      <c r="I30" s="20">
        <f>SUM(B30:H31)</f>
        <v>13.89</v>
      </c>
    </row>
    <row r="31" spans="1:9" ht="15.75" thickBot="1" x14ac:dyDescent="0.3">
      <c r="A31" s="73"/>
      <c r="B31" s="24"/>
      <c r="C31" s="23"/>
      <c r="D31" s="23"/>
      <c r="E31" s="23"/>
      <c r="F31" s="23"/>
      <c r="G31" s="23"/>
      <c r="H31" s="44"/>
      <c r="I31" s="20"/>
    </row>
    <row r="32" spans="1:9" ht="15.75" thickBot="1" x14ac:dyDescent="0.3">
      <c r="A32" s="72" t="s">
        <v>18</v>
      </c>
      <c r="B32" s="45">
        <v>9.83</v>
      </c>
      <c r="C32" s="46">
        <v>4.68</v>
      </c>
      <c r="D32" s="46">
        <v>6.41</v>
      </c>
      <c r="E32" s="46">
        <v>14</v>
      </c>
      <c r="F32" s="46">
        <v>10.41</v>
      </c>
      <c r="G32" s="46">
        <v>7.72</v>
      </c>
      <c r="H32" s="47">
        <v>10.33</v>
      </c>
      <c r="I32" s="20">
        <f>SUM(B32:H33)</f>
        <v>63.379999999999995</v>
      </c>
    </row>
    <row r="33" spans="1:9" ht="15.75" thickBot="1" x14ac:dyDescent="0.3">
      <c r="A33" s="73"/>
      <c r="B33" s="40"/>
      <c r="C33" s="41"/>
      <c r="D33" s="41"/>
      <c r="E33" s="41"/>
      <c r="F33" s="41"/>
      <c r="G33" s="41"/>
      <c r="H33" s="42"/>
      <c r="I33" s="20"/>
    </row>
    <row r="34" spans="1:9" ht="15.75" thickBot="1" x14ac:dyDescent="0.3">
      <c r="A34" s="72" t="s">
        <v>19</v>
      </c>
      <c r="B34" s="21">
        <v>18.02</v>
      </c>
      <c r="C34" s="22">
        <v>16.25</v>
      </c>
      <c r="D34" s="22">
        <v>18.079999999999998</v>
      </c>
      <c r="E34" s="22">
        <v>20.260000000000002</v>
      </c>
      <c r="F34" s="22">
        <v>9.18</v>
      </c>
      <c r="G34" s="22">
        <v>10.11</v>
      </c>
      <c r="H34" s="43">
        <v>16.04</v>
      </c>
      <c r="I34" s="20">
        <f>SUM(B34:H35)</f>
        <v>147.73999999999998</v>
      </c>
    </row>
    <row r="35" spans="1:9" ht="15.75" thickBot="1" x14ac:dyDescent="0.3">
      <c r="A35" s="73"/>
      <c r="B35" s="24"/>
      <c r="C35" s="23"/>
      <c r="D35" s="23"/>
      <c r="E35" s="23"/>
      <c r="F35" s="22">
        <v>10.33</v>
      </c>
      <c r="G35" s="22">
        <v>12.46</v>
      </c>
      <c r="H35" s="43">
        <v>17.010000000000002</v>
      </c>
      <c r="I35" s="20"/>
    </row>
    <row r="36" spans="1:9" ht="15.75" thickBot="1" x14ac:dyDescent="0.3">
      <c r="A36" s="72" t="s">
        <v>20</v>
      </c>
      <c r="B36" s="45">
        <v>10.050000000000001</v>
      </c>
      <c r="C36" s="46">
        <v>10.029999999999999</v>
      </c>
      <c r="D36" s="46">
        <v>10.130000000000001</v>
      </c>
      <c r="E36" s="46">
        <v>20.260000000000002</v>
      </c>
      <c r="F36" s="46">
        <v>14.05</v>
      </c>
      <c r="G36" s="46">
        <v>12.53</v>
      </c>
      <c r="H36" s="47">
        <v>19.440000000000001</v>
      </c>
      <c r="I36" s="20">
        <f>SUM(B36:H37)</f>
        <v>154.38</v>
      </c>
    </row>
    <row r="37" spans="1:9" ht="15.75" thickBot="1" x14ac:dyDescent="0.3">
      <c r="A37" s="73"/>
      <c r="B37" s="45">
        <v>10.1</v>
      </c>
      <c r="C37" s="46">
        <v>15.02</v>
      </c>
      <c r="D37" s="46">
        <v>10.3</v>
      </c>
      <c r="E37" s="46">
        <v>5.03</v>
      </c>
      <c r="F37" s="46">
        <v>7</v>
      </c>
      <c r="G37" s="46">
        <v>10.44</v>
      </c>
      <c r="H37" s="42"/>
      <c r="I37" s="20"/>
    </row>
    <row r="38" spans="1:9" ht="15.75" thickBot="1" x14ac:dyDescent="0.3">
      <c r="A38" s="72" t="s">
        <v>21</v>
      </c>
      <c r="B38" s="21">
        <v>8.0500000000000007</v>
      </c>
      <c r="C38" s="22">
        <v>13.03</v>
      </c>
      <c r="D38" s="22">
        <v>10.050000000000001</v>
      </c>
      <c r="E38" s="22">
        <v>6.02</v>
      </c>
      <c r="F38" s="22">
        <v>12.68</v>
      </c>
      <c r="G38" s="22">
        <v>11.65</v>
      </c>
      <c r="H38" s="43">
        <v>13.33</v>
      </c>
      <c r="I38" s="20">
        <f>SUM(B38:H39)</f>
        <v>134.27999999999997</v>
      </c>
    </row>
    <row r="39" spans="1:9" ht="15.75" thickBot="1" x14ac:dyDescent="0.3">
      <c r="A39" s="73"/>
      <c r="B39" s="21">
        <v>6.3</v>
      </c>
      <c r="C39" s="23"/>
      <c r="D39" s="22">
        <v>11.56</v>
      </c>
      <c r="E39" s="22">
        <v>8.74</v>
      </c>
      <c r="F39" s="22">
        <v>6.05</v>
      </c>
      <c r="G39" s="22">
        <v>12.68</v>
      </c>
      <c r="H39" s="43">
        <v>14.14</v>
      </c>
      <c r="I39" s="20"/>
    </row>
    <row r="40" spans="1:9" ht="15.75" thickBot="1" x14ac:dyDescent="0.3">
      <c r="A40" s="72" t="s">
        <v>22</v>
      </c>
      <c r="B40" s="45">
        <v>16.07</v>
      </c>
      <c r="C40" s="46">
        <v>15.56</v>
      </c>
      <c r="D40" s="46">
        <v>12.01</v>
      </c>
      <c r="E40" s="46">
        <v>20.260000000000002</v>
      </c>
      <c r="F40" s="46">
        <v>11.57</v>
      </c>
      <c r="G40" s="46">
        <v>0</v>
      </c>
      <c r="H40" s="47">
        <v>0</v>
      </c>
      <c r="I40" s="20">
        <f>SUM(B40:H42)</f>
        <v>75.47</v>
      </c>
    </row>
    <row r="41" spans="1:9" ht="15.75" thickBot="1" x14ac:dyDescent="0.3">
      <c r="A41" s="73"/>
      <c r="B41" s="40"/>
      <c r="C41" s="41"/>
      <c r="D41" s="41"/>
      <c r="E41" s="41"/>
      <c r="F41" s="41"/>
      <c r="G41" s="41"/>
      <c r="H41" s="42"/>
      <c r="I41" s="6"/>
    </row>
    <row r="42" spans="1:9" ht="15.75" thickBot="1" x14ac:dyDescent="0.3">
      <c r="A42" s="18"/>
      <c r="B42" s="24"/>
      <c r="C42" s="23"/>
      <c r="D42" s="23"/>
      <c r="E42" s="23"/>
      <c r="F42" s="23"/>
      <c r="G42" s="23"/>
      <c r="H42" s="44"/>
      <c r="I42" s="6"/>
    </row>
    <row r="43" spans="1:9" ht="15.75" thickBot="1" x14ac:dyDescent="0.3">
      <c r="A43" s="1" t="s">
        <v>8</v>
      </c>
      <c r="B43" s="13">
        <f>SUM(B28:B42)</f>
        <v>110.19999999999999</v>
      </c>
      <c r="C43" s="13">
        <f t="shared" ref="C43:H43" si="1">SUM(C28:C42)</f>
        <v>117.21</v>
      </c>
      <c r="D43" s="13">
        <f t="shared" si="1"/>
        <v>111.05</v>
      </c>
      <c r="E43" s="13">
        <f t="shared" si="1"/>
        <v>132.19</v>
      </c>
      <c r="F43" s="13">
        <f t="shared" si="1"/>
        <v>110.21000000000001</v>
      </c>
      <c r="G43" s="13">
        <f t="shared" si="1"/>
        <v>106.06</v>
      </c>
      <c r="H43" s="13">
        <f t="shared" si="1"/>
        <v>136.12</v>
      </c>
      <c r="I43" s="15"/>
    </row>
    <row r="44" spans="1:9" ht="24" thickBot="1" x14ac:dyDescent="0.3">
      <c r="A44" s="2" t="s">
        <v>9</v>
      </c>
      <c r="B44" s="59">
        <f>SUM(B43:H43)</f>
        <v>823.04000000000008</v>
      </c>
      <c r="C44" s="60"/>
      <c r="D44" s="60"/>
      <c r="E44" s="60"/>
      <c r="F44" s="60"/>
      <c r="G44" s="60"/>
      <c r="H44" s="60"/>
      <c r="I44" s="16"/>
    </row>
    <row r="45" spans="1:9" ht="45.75" thickBot="1" x14ac:dyDescent="0.3">
      <c r="A45" s="3" t="s">
        <v>10</v>
      </c>
      <c r="B45" s="77">
        <f>B44+'TUẦN 1'!B45:H45</f>
        <v>1353.44</v>
      </c>
      <c r="C45" s="78"/>
      <c r="D45" s="78"/>
      <c r="E45" s="78"/>
      <c r="F45" s="78"/>
      <c r="G45" s="78"/>
      <c r="H45" s="79"/>
      <c r="I45" s="17"/>
    </row>
    <row r="46" spans="1:9" ht="15.75" thickTop="1" x14ac:dyDescent="0.25"/>
    <row r="48" spans="1:9" ht="27" thickBot="1" x14ac:dyDescent="0.3">
      <c r="A48" s="63" t="s">
        <v>14</v>
      </c>
      <c r="B48" s="63"/>
      <c r="C48" s="63"/>
      <c r="D48" s="63"/>
      <c r="E48" s="63"/>
      <c r="F48" s="63"/>
      <c r="G48" s="63"/>
      <c r="H48" s="63"/>
      <c r="I48" s="63"/>
    </row>
    <row r="49" spans="1:9" ht="15.75" thickTop="1" x14ac:dyDescent="0.25">
      <c r="A49" s="61" t="s">
        <v>0</v>
      </c>
      <c r="B49" s="66">
        <v>46385</v>
      </c>
      <c r="C49" s="68">
        <v>46386</v>
      </c>
      <c r="D49" s="68">
        <v>46387</v>
      </c>
      <c r="E49" s="68">
        <v>46023</v>
      </c>
      <c r="F49" s="68">
        <v>46024</v>
      </c>
      <c r="G49" s="68">
        <v>46025</v>
      </c>
      <c r="H49" s="68">
        <v>46026</v>
      </c>
      <c r="I49" s="64" t="s">
        <v>11</v>
      </c>
    </row>
    <row r="50" spans="1:9" ht="15.75" thickBot="1" x14ac:dyDescent="0.3">
      <c r="A50" s="62"/>
      <c r="B50" s="67"/>
      <c r="C50" s="69"/>
      <c r="D50" s="69"/>
      <c r="E50" s="69"/>
      <c r="F50" s="69"/>
      <c r="G50" s="69"/>
      <c r="H50" s="69"/>
      <c r="I50" s="65"/>
    </row>
    <row r="51" spans="1:9" ht="15.75" thickBot="1" x14ac:dyDescent="0.3">
      <c r="A51" s="72" t="s">
        <v>23</v>
      </c>
      <c r="B51" s="48">
        <v>15.01</v>
      </c>
      <c r="C51" s="49">
        <v>15.01</v>
      </c>
      <c r="D51" s="49">
        <v>15</v>
      </c>
      <c r="E51" s="49">
        <v>20.260000000000002</v>
      </c>
      <c r="F51" s="49">
        <v>12.52</v>
      </c>
      <c r="G51" s="49">
        <v>12.52</v>
      </c>
      <c r="H51" s="50">
        <v>16.760000000000002</v>
      </c>
      <c r="I51" s="20">
        <f>SUM(B51:H52)</f>
        <v>107.08</v>
      </c>
    </row>
    <row r="52" spans="1:9" ht="15.75" thickBot="1" x14ac:dyDescent="0.3">
      <c r="A52" s="73"/>
      <c r="B52" s="51"/>
      <c r="C52" s="52"/>
      <c r="D52" s="52"/>
      <c r="E52" s="52"/>
      <c r="F52" s="52"/>
      <c r="G52" s="52"/>
      <c r="H52" s="53"/>
      <c r="I52" s="20"/>
    </row>
    <row r="53" spans="1:9" ht="15.75" thickBot="1" x14ac:dyDescent="0.3">
      <c r="A53" s="72" t="s">
        <v>24</v>
      </c>
      <c r="B53" s="21">
        <v>27.53</v>
      </c>
      <c r="C53" s="22">
        <v>23.03</v>
      </c>
      <c r="D53" s="22">
        <v>12.37</v>
      </c>
      <c r="E53" s="22">
        <v>20.260000000000002</v>
      </c>
      <c r="F53" s="22">
        <v>18.91</v>
      </c>
      <c r="G53" s="22">
        <v>0</v>
      </c>
      <c r="H53" s="43">
        <v>17.510000000000002</v>
      </c>
      <c r="I53" s="20">
        <f>SUM(B53:H54)</f>
        <v>153.04000000000002</v>
      </c>
    </row>
    <row r="54" spans="1:9" ht="15.75" thickBot="1" x14ac:dyDescent="0.3">
      <c r="A54" s="73"/>
      <c r="B54" s="24"/>
      <c r="C54" s="22">
        <v>8.02</v>
      </c>
      <c r="D54" s="22">
        <v>8.58</v>
      </c>
      <c r="E54" s="23"/>
      <c r="F54" s="23"/>
      <c r="G54" s="23"/>
      <c r="H54" s="43">
        <v>16.829999999999998</v>
      </c>
      <c r="I54" s="20"/>
    </row>
    <row r="55" spans="1:9" ht="15.75" thickBot="1" x14ac:dyDescent="0.3">
      <c r="A55" s="72" t="s">
        <v>25</v>
      </c>
      <c r="B55" s="54">
        <v>21</v>
      </c>
      <c r="C55" s="55">
        <v>0</v>
      </c>
      <c r="D55" s="55">
        <v>12</v>
      </c>
      <c r="E55" s="55">
        <v>20.260000000000002</v>
      </c>
      <c r="F55" s="55">
        <v>0</v>
      </c>
      <c r="G55" s="55">
        <v>0</v>
      </c>
      <c r="H55" s="56">
        <v>35</v>
      </c>
      <c r="I55" s="20">
        <f>SUM(B55:H56)</f>
        <v>88.26</v>
      </c>
    </row>
    <row r="56" spans="1:9" ht="15.75" thickBot="1" x14ac:dyDescent="0.3">
      <c r="A56" s="73"/>
      <c r="B56" s="51"/>
      <c r="C56" s="52"/>
      <c r="D56" s="52"/>
      <c r="E56" s="52"/>
      <c r="F56" s="52"/>
      <c r="G56" s="52"/>
      <c r="H56" s="53"/>
      <c r="I56" s="20"/>
    </row>
    <row r="57" spans="1:9" ht="15.75" thickBot="1" x14ac:dyDescent="0.3">
      <c r="A57" s="72" t="s">
        <v>26</v>
      </c>
      <c r="B57" s="21">
        <v>6.5</v>
      </c>
      <c r="C57" s="22">
        <v>8.39</v>
      </c>
      <c r="D57" s="22">
        <v>0.73</v>
      </c>
      <c r="E57" s="22">
        <v>20.260000000000002</v>
      </c>
      <c r="F57" s="22">
        <v>4.6100000000000003</v>
      </c>
      <c r="G57" s="22">
        <v>1.5</v>
      </c>
      <c r="H57" s="43">
        <v>0</v>
      </c>
      <c r="I57" s="20">
        <f>SUM(B57:H58)</f>
        <v>41.99</v>
      </c>
    </row>
    <row r="58" spans="1:9" ht="15.75" thickBot="1" x14ac:dyDescent="0.3">
      <c r="A58" s="73"/>
      <c r="B58" s="24"/>
      <c r="C58" s="23"/>
      <c r="D58" s="23"/>
      <c r="E58" s="23"/>
      <c r="F58" s="23"/>
      <c r="G58" s="23"/>
      <c r="H58" s="44"/>
      <c r="I58" s="20"/>
    </row>
    <row r="59" spans="1:9" ht="15.75" thickBot="1" x14ac:dyDescent="0.3">
      <c r="A59" s="72" t="s">
        <v>27</v>
      </c>
      <c r="B59" s="45">
        <v>0</v>
      </c>
      <c r="C59" s="46">
        <v>21.2</v>
      </c>
      <c r="D59" s="46">
        <v>0</v>
      </c>
      <c r="E59" s="46">
        <v>12</v>
      </c>
      <c r="F59" s="46">
        <v>0</v>
      </c>
      <c r="G59" s="46">
        <v>7</v>
      </c>
      <c r="H59" s="47">
        <v>11.02</v>
      </c>
      <c r="I59" s="20">
        <f>SUM(B59:H60)</f>
        <v>59.23</v>
      </c>
    </row>
    <row r="60" spans="1:9" ht="15.75" thickBot="1" x14ac:dyDescent="0.3">
      <c r="A60" s="73"/>
      <c r="B60" s="40"/>
      <c r="C60" s="41"/>
      <c r="D60" s="41"/>
      <c r="E60" s="46">
        <v>8.01</v>
      </c>
      <c r="F60" s="41"/>
      <c r="G60" s="41"/>
      <c r="H60" s="42"/>
      <c r="I60" s="20"/>
    </row>
    <row r="61" spans="1:9" ht="15.75" thickBot="1" x14ac:dyDescent="0.3">
      <c r="A61" s="72" t="s">
        <v>28</v>
      </c>
      <c r="B61" s="21">
        <v>8.42</v>
      </c>
      <c r="C61" s="22">
        <v>8.5</v>
      </c>
      <c r="D61" s="22">
        <v>19.02</v>
      </c>
      <c r="E61" s="22">
        <v>20.260000000000002</v>
      </c>
      <c r="F61" s="22">
        <v>5.5</v>
      </c>
      <c r="G61" s="22">
        <v>11.18</v>
      </c>
      <c r="H61" s="43">
        <v>10.28</v>
      </c>
      <c r="I61" s="20">
        <f>SUM(B61:H62)</f>
        <v>128.82999999999998</v>
      </c>
    </row>
    <row r="62" spans="1:9" ht="15.75" thickBot="1" x14ac:dyDescent="0.3">
      <c r="A62" s="73"/>
      <c r="B62" s="24"/>
      <c r="C62" s="22">
        <v>7.75</v>
      </c>
      <c r="D62" s="22">
        <v>13.01</v>
      </c>
      <c r="E62" s="23"/>
      <c r="F62" s="23"/>
      <c r="G62" s="22">
        <v>8.91</v>
      </c>
      <c r="H62" s="43">
        <v>16</v>
      </c>
      <c r="I62" s="20"/>
    </row>
    <row r="63" spans="1:9" ht="15.75" thickBot="1" x14ac:dyDescent="0.3">
      <c r="A63" s="72" t="s">
        <v>29</v>
      </c>
      <c r="B63" s="45">
        <v>11.02</v>
      </c>
      <c r="C63" s="46">
        <v>21.59</v>
      </c>
      <c r="D63" s="46">
        <v>5.55</v>
      </c>
      <c r="E63" s="46">
        <v>20.260000000000002</v>
      </c>
      <c r="F63" s="46">
        <v>5.64</v>
      </c>
      <c r="G63" s="46">
        <v>3.78</v>
      </c>
      <c r="H63" s="47">
        <v>10.51</v>
      </c>
      <c r="I63" s="20">
        <f>SUM(B63:H65)</f>
        <v>78.350000000000009</v>
      </c>
    </row>
    <row r="64" spans="1:9" ht="15.75" thickBot="1" x14ac:dyDescent="0.3">
      <c r="A64" s="73"/>
      <c r="B64" s="40"/>
      <c r="C64" s="41"/>
      <c r="D64" s="41"/>
      <c r="E64" s="41"/>
      <c r="F64" s="41"/>
      <c r="G64" s="41"/>
      <c r="H64" s="42"/>
      <c r="I64" s="6"/>
    </row>
    <row r="65" spans="1:9" ht="15.75" thickBot="1" x14ac:dyDescent="0.3">
      <c r="A65" s="18"/>
      <c r="B65" s="24"/>
      <c r="C65" s="23"/>
      <c r="D65" s="23"/>
      <c r="E65" s="23"/>
      <c r="F65" s="23"/>
      <c r="G65" s="23"/>
      <c r="H65" s="44"/>
      <c r="I65" s="6"/>
    </row>
    <row r="66" spans="1:9" ht="15.75" thickBot="1" x14ac:dyDescent="0.3">
      <c r="A66" s="1" t="s">
        <v>8</v>
      </c>
      <c r="B66" s="13">
        <f>SUM(B51:B65)</f>
        <v>89.47999999999999</v>
      </c>
      <c r="C66" s="13">
        <f t="shared" ref="C66:H66" si="2">SUM(C51:C65)</f>
        <v>113.49000000000001</v>
      </c>
      <c r="D66" s="13">
        <f t="shared" si="2"/>
        <v>86.259999999999991</v>
      </c>
      <c r="E66" s="13">
        <f t="shared" si="2"/>
        <v>141.57000000000002</v>
      </c>
      <c r="F66" s="13">
        <f t="shared" si="2"/>
        <v>47.18</v>
      </c>
      <c r="G66" s="13">
        <f t="shared" si="2"/>
        <v>44.89</v>
      </c>
      <c r="H66" s="13">
        <f t="shared" si="2"/>
        <v>133.91</v>
      </c>
      <c r="I66" s="15"/>
    </row>
    <row r="67" spans="1:9" ht="24" thickBot="1" x14ac:dyDescent="0.3">
      <c r="A67" s="2" t="s">
        <v>9</v>
      </c>
      <c r="B67" s="59">
        <f>SUM(B66:H66)</f>
        <v>656.78000000000009</v>
      </c>
      <c r="C67" s="60"/>
      <c r="D67" s="60"/>
      <c r="E67" s="60"/>
      <c r="F67" s="60"/>
      <c r="G67" s="60"/>
      <c r="H67" s="60"/>
      <c r="I67" s="16"/>
    </row>
    <row r="68" spans="1:9" ht="45.75" thickBot="1" x14ac:dyDescent="0.3">
      <c r="A68" s="3" t="s">
        <v>10</v>
      </c>
      <c r="B68" s="77">
        <f>B67+'TUẦN 1'!B68:H68</f>
        <v>1162.94</v>
      </c>
      <c r="C68" s="78"/>
      <c r="D68" s="78"/>
      <c r="E68" s="78"/>
      <c r="F68" s="78"/>
      <c r="G68" s="78"/>
      <c r="H68" s="79"/>
      <c r="I68" s="17"/>
    </row>
    <row r="69" spans="1:9" ht="15.75" thickTop="1" x14ac:dyDescent="0.25"/>
    <row r="71" spans="1:9" ht="34.5" customHeight="1" thickBot="1" x14ac:dyDescent="0.3">
      <c r="A71" s="63" t="s">
        <v>15</v>
      </c>
      <c r="B71" s="63"/>
      <c r="C71" s="63"/>
      <c r="D71" s="63"/>
      <c r="E71" s="63"/>
      <c r="F71" s="63"/>
      <c r="G71" s="63"/>
      <c r="H71" s="63"/>
      <c r="I71" s="63"/>
    </row>
    <row r="72" spans="1:9" ht="15.75" thickTop="1" x14ac:dyDescent="0.25">
      <c r="A72" s="61" t="s">
        <v>0</v>
      </c>
      <c r="B72" s="66">
        <v>46385</v>
      </c>
      <c r="C72" s="68">
        <v>46386</v>
      </c>
      <c r="D72" s="68">
        <v>46387</v>
      </c>
      <c r="E72" s="68">
        <v>46023</v>
      </c>
      <c r="F72" s="68">
        <v>46024</v>
      </c>
      <c r="G72" s="68">
        <v>46025</v>
      </c>
      <c r="H72" s="68">
        <v>46026</v>
      </c>
      <c r="I72" s="64" t="s">
        <v>11</v>
      </c>
    </row>
    <row r="73" spans="1:9" ht="15.75" thickBot="1" x14ac:dyDescent="0.3">
      <c r="A73" s="62"/>
      <c r="B73" s="67"/>
      <c r="C73" s="69"/>
      <c r="D73" s="69"/>
      <c r="E73" s="69"/>
      <c r="F73" s="69"/>
      <c r="G73" s="69"/>
      <c r="H73" s="69"/>
      <c r="I73" s="65"/>
    </row>
    <row r="74" spans="1:9" ht="15.75" thickBot="1" x14ac:dyDescent="0.3">
      <c r="A74" s="72" t="s">
        <v>30</v>
      </c>
      <c r="B74" s="37">
        <v>15.3</v>
      </c>
      <c r="C74" s="38">
        <v>15.14</v>
      </c>
      <c r="D74" s="38">
        <v>0</v>
      </c>
      <c r="E74" s="38">
        <v>20.260000000000002</v>
      </c>
      <c r="F74" s="38">
        <v>10.02</v>
      </c>
      <c r="G74" s="38">
        <v>0</v>
      </c>
      <c r="H74" s="39">
        <v>0</v>
      </c>
      <c r="I74" s="6">
        <f>SUM(B74:H75)</f>
        <v>60.72</v>
      </c>
    </row>
    <row r="75" spans="1:9" ht="15.75" thickBot="1" x14ac:dyDescent="0.3">
      <c r="A75" s="73"/>
      <c r="B75" s="40"/>
      <c r="C75" s="41"/>
      <c r="D75" s="41"/>
      <c r="E75" s="41"/>
      <c r="F75" s="41"/>
      <c r="G75" s="41"/>
      <c r="H75" s="42"/>
      <c r="I75" s="6"/>
    </row>
    <row r="76" spans="1:9" ht="15.75" thickBot="1" x14ac:dyDescent="0.3">
      <c r="A76" s="72" t="s">
        <v>31</v>
      </c>
      <c r="B76" s="21">
        <v>0</v>
      </c>
      <c r="C76" s="22">
        <v>15.15</v>
      </c>
      <c r="D76" s="22">
        <v>14.56</v>
      </c>
      <c r="E76" s="22">
        <v>20.260000000000002</v>
      </c>
      <c r="F76" s="22">
        <v>18</v>
      </c>
      <c r="G76" s="22">
        <v>15.4</v>
      </c>
      <c r="H76" s="43">
        <v>15</v>
      </c>
      <c r="I76" s="6">
        <f>SUM(B76:H77)</f>
        <v>105.42</v>
      </c>
    </row>
    <row r="77" spans="1:9" ht="15.75" thickBot="1" x14ac:dyDescent="0.3">
      <c r="A77" s="73"/>
      <c r="B77" s="24"/>
      <c r="C77" s="23"/>
      <c r="D77" s="23"/>
      <c r="E77" s="22">
        <v>1.02</v>
      </c>
      <c r="F77" s="22">
        <v>1.01</v>
      </c>
      <c r="G77" s="23"/>
      <c r="H77" s="43">
        <v>5.0199999999999996</v>
      </c>
      <c r="I77" s="6"/>
    </row>
    <row r="78" spans="1:9" ht="15.75" thickBot="1" x14ac:dyDescent="0.3">
      <c r="A78" s="72" t="s">
        <v>32</v>
      </c>
      <c r="B78" s="45">
        <v>5</v>
      </c>
      <c r="C78" s="46">
        <v>6.73</v>
      </c>
      <c r="D78" s="46">
        <v>5.17</v>
      </c>
      <c r="E78" s="46">
        <v>20.260000000000002</v>
      </c>
      <c r="F78" s="46">
        <v>0</v>
      </c>
      <c r="G78" s="46">
        <v>0.65</v>
      </c>
      <c r="H78" s="47">
        <v>9.56</v>
      </c>
      <c r="I78" s="6">
        <f>SUM(B78:H79)</f>
        <v>47.37</v>
      </c>
    </row>
    <row r="79" spans="1:9" ht="15.75" thickBot="1" x14ac:dyDescent="0.3">
      <c r="A79" s="73"/>
      <c r="B79" s="40"/>
      <c r="C79" s="41"/>
      <c r="D79" s="41"/>
      <c r="E79" s="41"/>
      <c r="F79" s="41"/>
      <c r="G79" s="41"/>
      <c r="H79" s="42"/>
      <c r="I79" s="6"/>
    </row>
    <row r="80" spans="1:9" ht="15.75" thickBot="1" x14ac:dyDescent="0.3">
      <c r="A80" s="72" t="s">
        <v>33</v>
      </c>
      <c r="B80" s="21">
        <v>16.02</v>
      </c>
      <c r="C80" s="22">
        <v>22.33</v>
      </c>
      <c r="D80" s="22">
        <v>7</v>
      </c>
      <c r="E80" s="22">
        <v>20.260000000000002</v>
      </c>
      <c r="F80" s="22">
        <v>6.27</v>
      </c>
      <c r="G80" s="22">
        <v>11.54</v>
      </c>
      <c r="H80" s="43">
        <v>5</v>
      </c>
      <c r="I80" s="6">
        <f>SUM(B80:H81)</f>
        <v>116.13999999999999</v>
      </c>
    </row>
    <row r="81" spans="1:9" ht="15.75" thickBot="1" x14ac:dyDescent="0.3">
      <c r="A81" s="73"/>
      <c r="B81" s="24"/>
      <c r="C81" s="23"/>
      <c r="D81" s="23"/>
      <c r="E81" s="22">
        <v>4.08</v>
      </c>
      <c r="F81" s="22">
        <v>11.01</v>
      </c>
      <c r="G81" s="23"/>
      <c r="H81" s="43">
        <v>12.63</v>
      </c>
      <c r="I81" s="6"/>
    </row>
    <row r="82" spans="1:9" ht="15.75" thickBot="1" x14ac:dyDescent="0.3">
      <c r="A82" s="72" t="s">
        <v>34</v>
      </c>
      <c r="B82" s="45">
        <v>12.75</v>
      </c>
      <c r="C82" s="46">
        <v>4.1500000000000004</v>
      </c>
      <c r="D82" s="46">
        <v>0</v>
      </c>
      <c r="E82" s="46">
        <v>0</v>
      </c>
      <c r="F82" s="46">
        <v>0</v>
      </c>
      <c r="G82" s="46">
        <v>0</v>
      </c>
      <c r="H82" s="47">
        <v>10.02</v>
      </c>
      <c r="I82" s="6">
        <f>SUM(B82:H83)</f>
        <v>26.919999999999998</v>
      </c>
    </row>
    <row r="83" spans="1:9" ht="15.75" thickBot="1" x14ac:dyDescent="0.3">
      <c r="A83" s="73"/>
      <c r="B83" s="40"/>
      <c r="C83" s="41"/>
      <c r="D83" s="41"/>
      <c r="E83" s="41"/>
      <c r="F83" s="41"/>
      <c r="G83" s="41"/>
      <c r="H83" s="42"/>
      <c r="I83" s="6"/>
    </row>
    <row r="84" spans="1:9" ht="15.75" thickBot="1" x14ac:dyDescent="0.3">
      <c r="A84" s="72" t="s">
        <v>35</v>
      </c>
      <c r="B84" s="21">
        <v>15.4</v>
      </c>
      <c r="C84" s="22">
        <v>9.4600000000000009</v>
      </c>
      <c r="D84" s="22">
        <v>10.119999999999999</v>
      </c>
      <c r="E84" s="22">
        <v>0</v>
      </c>
      <c r="F84" s="22">
        <v>17.14</v>
      </c>
      <c r="G84" s="22">
        <v>7.3</v>
      </c>
      <c r="H84" s="43">
        <v>19.09</v>
      </c>
      <c r="I84" s="6">
        <f>SUM(B84:H85)</f>
        <v>96.99</v>
      </c>
    </row>
    <row r="85" spans="1:9" ht="15.75" thickBot="1" x14ac:dyDescent="0.3">
      <c r="A85" s="73"/>
      <c r="B85" s="24"/>
      <c r="C85" s="23"/>
      <c r="D85" s="23"/>
      <c r="E85" s="23"/>
      <c r="F85" s="22">
        <v>11.2</v>
      </c>
      <c r="G85" s="22">
        <v>7.28</v>
      </c>
      <c r="H85" s="44"/>
      <c r="I85" s="6"/>
    </row>
    <row r="86" spans="1:9" ht="15.75" thickBot="1" x14ac:dyDescent="0.3">
      <c r="A86" s="72" t="s">
        <v>36</v>
      </c>
      <c r="B86" s="45">
        <v>0</v>
      </c>
      <c r="C86" s="46">
        <v>9.7799999999999994</v>
      </c>
      <c r="D86" s="46">
        <v>10.32</v>
      </c>
      <c r="E86" s="46">
        <v>0</v>
      </c>
      <c r="F86" s="46">
        <v>0</v>
      </c>
      <c r="G86" s="46">
        <v>0</v>
      </c>
      <c r="H86" s="47">
        <v>9.7200000000000006</v>
      </c>
      <c r="I86" s="6">
        <f>SUM(B86:H89)</f>
        <v>29.82</v>
      </c>
    </row>
    <row r="87" spans="1:9" ht="15.75" thickBot="1" x14ac:dyDescent="0.3">
      <c r="A87" s="73"/>
      <c r="B87" s="40"/>
      <c r="C87" s="41"/>
      <c r="D87" s="41"/>
      <c r="E87" s="41"/>
      <c r="F87" s="41"/>
      <c r="G87" s="41"/>
      <c r="H87" s="42"/>
      <c r="I87" s="6"/>
    </row>
    <row r="88" spans="1:9" ht="15.75" thickBot="1" x14ac:dyDescent="0.3">
      <c r="A88" s="18"/>
      <c r="B88" s="24"/>
      <c r="C88" s="23"/>
      <c r="D88" s="23"/>
      <c r="E88" s="23"/>
      <c r="F88" s="23"/>
      <c r="G88" s="23"/>
      <c r="H88" s="44"/>
      <c r="I88" s="6"/>
    </row>
    <row r="89" spans="1:9" ht="15.75" thickBot="1" x14ac:dyDescent="0.3">
      <c r="A89" s="18"/>
      <c r="B89" s="11"/>
      <c r="C89" s="5"/>
      <c r="D89" s="5"/>
      <c r="E89" s="12"/>
      <c r="F89" s="12"/>
      <c r="G89" s="12"/>
      <c r="H89" s="12"/>
      <c r="I89" s="6"/>
    </row>
    <row r="90" spans="1:9" ht="15.75" thickBot="1" x14ac:dyDescent="0.3">
      <c r="A90" s="1" t="s">
        <v>8</v>
      </c>
      <c r="B90" s="13">
        <f>SUM(B74:B89)</f>
        <v>64.47</v>
      </c>
      <c r="C90" s="13">
        <f t="shared" ref="C90:H90" si="3">SUM(C74:C89)</f>
        <v>82.74</v>
      </c>
      <c r="D90" s="13">
        <f t="shared" si="3"/>
        <v>47.17</v>
      </c>
      <c r="E90" s="13">
        <f t="shared" si="3"/>
        <v>86.140000000000015</v>
      </c>
      <c r="F90" s="13">
        <f t="shared" si="3"/>
        <v>74.649999999999991</v>
      </c>
      <c r="G90" s="13">
        <f t="shared" si="3"/>
        <v>42.17</v>
      </c>
      <c r="H90" s="13">
        <f t="shared" si="3"/>
        <v>86.04</v>
      </c>
      <c r="I90" s="15"/>
    </row>
    <row r="91" spans="1:9" ht="24" thickBot="1" x14ac:dyDescent="0.3">
      <c r="A91" s="2" t="s">
        <v>9</v>
      </c>
      <c r="B91" s="59">
        <f>SUM(B90:H90)</f>
        <v>483.38</v>
      </c>
      <c r="C91" s="60"/>
      <c r="D91" s="60"/>
      <c r="E91" s="60"/>
      <c r="F91" s="60"/>
      <c r="G91" s="60"/>
      <c r="H91" s="60"/>
      <c r="I91" s="16"/>
    </row>
    <row r="92" spans="1:9" ht="45.75" thickBot="1" x14ac:dyDescent="0.3">
      <c r="A92" s="3" t="s">
        <v>10</v>
      </c>
      <c r="B92" s="77">
        <f>B91+'TUẦN 1'!B92:H92</f>
        <v>997.44</v>
      </c>
      <c r="C92" s="78"/>
      <c r="D92" s="78"/>
      <c r="E92" s="78"/>
      <c r="F92" s="78"/>
      <c r="G92" s="78"/>
      <c r="H92" s="79"/>
      <c r="I92" s="17"/>
    </row>
    <row r="93" spans="1:9" ht="15.75" thickTop="1" x14ac:dyDescent="0.25"/>
  </sheetData>
  <mergeCells count="76">
    <mergeCell ref="B92:H92"/>
    <mergeCell ref="I49:I50"/>
    <mergeCell ref="A63:A64"/>
    <mergeCell ref="B68:H68"/>
    <mergeCell ref="A71:I71"/>
    <mergeCell ref="B72:B73"/>
    <mergeCell ref="C72:C73"/>
    <mergeCell ref="D72:D73"/>
    <mergeCell ref="E72:E73"/>
    <mergeCell ref="F72:F73"/>
    <mergeCell ref="G72:G73"/>
    <mergeCell ref="B49:B50"/>
    <mergeCell ref="C49:C50"/>
    <mergeCell ref="D49:D50"/>
    <mergeCell ref="A40:A41"/>
    <mergeCell ref="B45:H45"/>
    <mergeCell ref="A48:I48"/>
    <mergeCell ref="A86:A87"/>
    <mergeCell ref="B91:H91"/>
    <mergeCell ref="H72:H73"/>
    <mergeCell ref="I72:I73"/>
    <mergeCell ref="B67:H67"/>
    <mergeCell ref="B44:H44"/>
    <mergeCell ref="A84:A85"/>
    <mergeCell ref="A80:A81"/>
    <mergeCell ref="A82:A83"/>
    <mergeCell ref="E49:E50"/>
    <mergeCell ref="F49:F50"/>
    <mergeCell ref="A38:A39"/>
    <mergeCell ref="A26:A27"/>
    <mergeCell ref="A28:A29"/>
    <mergeCell ref="A30:A31"/>
    <mergeCell ref="A32:A33"/>
    <mergeCell ref="B22:H22"/>
    <mergeCell ref="A25:I25"/>
    <mergeCell ref="B26:B27"/>
    <mergeCell ref="C26:C27"/>
    <mergeCell ref="D26:D27"/>
    <mergeCell ref="E26:E27"/>
    <mergeCell ref="F26:F27"/>
    <mergeCell ref="G26:G27"/>
    <mergeCell ref="H26:H27"/>
    <mergeCell ref="I26:I27"/>
    <mergeCell ref="B21:H21"/>
    <mergeCell ref="A72:A73"/>
    <mergeCell ref="A74:A75"/>
    <mergeCell ref="A76:A77"/>
    <mergeCell ref="A78:A79"/>
    <mergeCell ref="A53:A54"/>
    <mergeCell ref="A55:A56"/>
    <mergeCell ref="A57:A58"/>
    <mergeCell ref="A59:A60"/>
    <mergeCell ref="A61:A62"/>
    <mergeCell ref="A49:A50"/>
    <mergeCell ref="A51:A52"/>
    <mergeCell ref="G49:G50"/>
    <mergeCell ref="H49:H50"/>
    <mergeCell ref="A34:A35"/>
    <mergeCell ref="A36:A37"/>
    <mergeCell ref="A16:A17"/>
    <mergeCell ref="A4:A5"/>
    <mergeCell ref="A6:A7"/>
    <mergeCell ref="A8:A9"/>
    <mergeCell ref="A10:A11"/>
    <mergeCell ref="A12:A13"/>
    <mergeCell ref="A14:A15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2"/>
  <sheetViews>
    <sheetView tabSelected="1" topLeftCell="A82" zoomScale="145" zoomScaleNormal="145" workbookViewId="0">
      <selection activeCell="I74" sqref="I74:I86"/>
    </sheetView>
  </sheetViews>
  <sheetFormatPr defaultRowHeight="15" x14ac:dyDescent="0.25"/>
  <cols>
    <col min="1" max="1" width="16.42578125" bestFit="1" customWidth="1"/>
    <col min="9" max="9" width="17.7109375" customWidth="1"/>
  </cols>
  <sheetData>
    <row r="1" spans="1:9" ht="37.5" customHeight="1" thickBot="1" x14ac:dyDescent="0.3">
      <c r="A1" s="63" t="s">
        <v>12</v>
      </c>
      <c r="B1" s="63"/>
      <c r="C1" s="63"/>
      <c r="D1" s="63"/>
      <c r="E1" s="63"/>
      <c r="F1" s="63"/>
      <c r="G1" s="63"/>
      <c r="H1" s="63"/>
      <c r="I1" s="63"/>
    </row>
    <row r="2" spans="1:9" ht="31.5" customHeight="1" thickTop="1" x14ac:dyDescent="0.25">
      <c r="A2" s="61" t="s">
        <v>0</v>
      </c>
      <c r="B2" s="66">
        <v>46027</v>
      </c>
      <c r="C2" s="68">
        <v>46028</v>
      </c>
      <c r="D2" s="68">
        <v>46029</v>
      </c>
      <c r="E2" s="68">
        <v>46030</v>
      </c>
      <c r="F2" s="68">
        <v>46031</v>
      </c>
      <c r="G2" s="68">
        <v>46032</v>
      </c>
      <c r="H2" s="68">
        <v>46033</v>
      </c>
      <c r="I2" s="64" t="s">
        <v>11</v>
      </c>
    </row>
    <row r="3" spans="1:9" ht="15.75" thickBot="1" x14ac:dyDescent="0.3">
      <c r="A3" s="62"/>
      <c r="B3" s="67"/>
      <c r="C3" s="69"/>
      <c r="D3" s="69"/>
      <c r="E3" s="69"/>
      <c r="F3" s="69"/>
      <c r="G3" s="69"/>
      <c r="H3" s="69"/>
      <c r="I3" s="65"/>
    </row>
    <row r="4" spans="1:9" ht="15.75" thickBot="1" x14ac:dyDescent="0.3">
      <c r="A4" s="72" t="s">
        <v>1</v>
      </c>
      <c r="B4" s="83">
        <v>15.36</v>
      </c>
      <c r="C4" s="38">
        <v>16.690000000000001</v>
      </c>
      <c r="D4" s="38">
        <v>16.21</v>
      </c>
      <c r="E4" s="12"/>
      <c r="F4" s="12"/>
      <c r="G4" s="12"/>
      <c r="H4" s="12"/>
      <c r="I4" s="20">
        <f>SUM(B4:H5)</f>
        <v>48.26</v>
      </c>
    </row>
    <row r="5" spans="1:9" ht="15.75" thickBot="1" x14ac:dyDescent="0.3">
      <c r="A5" s="73"/>
      <c r="B5" s="84"/>
      <c r="C5" s="41"/>
      <c r="D5" s="41"/>
      <c r="E5" s="5"/>
      <c r="F5" s="5"/>
      <c r="G5" s="5"/>
      <c r="H5" s="5"/>
      <c r="I5" s="20"/>
    </row>
    <row r="6" spans="1:9" ht="15.75" thickBot="1" x14ac:dyDescent="0.3">
      <c r="A6" s="72" t="s">
        <v>2</v>
      </c>
      <c r="B6" s="85">
        <v>15.25</v>
      </c>
      <c r="C6" s="22">
        <v>15.06</v>
      </c>
      <c r="D6" s="22">
        <v>18.309999999999999</v>
      </c>
      <c r="E6" s="8"/>
      <c r="F6" s="8"/>
      <c r="G6" s="8"/>
      <c r="H6" s="8"/>
      <c r="I6" s="20">
        <f>SUM(B6:H7)</f>
        <v>54.680000000000007</v>
      </c>
    </row>
    <row r="7" spans="1:9" ht="15.75" thickBot="1" x14ac:dyDescent="0.3">
      <c r="A7" s="73"/>
      <c r="B7" s="86"/>
      <c r="C7" s="22">
        <v>6.06</v>
      </c>
      <c r="D7" s="23"/>
      <c r="E7" s="8"/>
      <c r="F7" s="8"/>
      <c r="G7" s="10"/>
      <c r="H7" s="10"/>
      <c r="I7" s="20"/>
    </row>
    <row r="8" spans="1:9" ht="15.75" thickBot="1" x14ac:dyDescent="0.3">
      <c r="A8" s="72" t="s">
        <v>3</v>
      </c>
      <c r="B8" s="87">
        <v>7.23</v>
      </c>
      <c r="C8" s="46">
        <v>11.1</v>
      </c>
      <c r="D8" s="46">
        <v>10.49</v>
      </c>
      <c r="E8" s="12"/>
      <c r="F8" s="12"/>
      <c r="G8" s="12"/>
      <c r="H8" s="12"/>
      <c r="I8" s="20">
        <f>SUM(B8:H9)</f>
        <v>28.82</v>
      </c>
    </row>
    <row r="9" spans="1:9" ht="15.75" thickBot="1" x14ac:dyDescent="0.3">
      <c r="A9" s="73"/>
      <c r="B9" s="84"/>
      <c r="C9" s="41"/>
      <c r="D9" s="41"/>
      <c r="E9" s="5"/>
      <c r="F9" s="5"/>
      <c r="G9" s="5"/>
      <c r="H9" s="5"/>
      <c r="I9" s="20"/>
    </row>
    <row r="10" spans="1:9" ht="15.75" thickBot="1" x14ac:dyDescent="0.3">
      <c r="A10" s="72" t="s">
        <v>4</v>
      </c>
      <c r="B10" s="85">
        <v>10</v>
      </c>
      <c r="C10" s="22">
        <v>8.15</v>
      </c>
      <c r="D10" s="22">
        <v>9.6999999999999993</v>
      </c>
      <c r="E10" s="8"/>
      <c r="F10" s="8"/>
      <c r="G10" s="8"/>
      <c r="H10" s="8"/>
      <c r="I10" s="20">
        <f>SUM(B10:H11)</f>
        <v>48.8</v>
      </c>
    </row>
    <row r="11" spans="1:9" ht="15.75" thickBot="1" x14ac:dyDescent="0.3">
      <c r="A11" s="73"/>
      <c r="B11" s="86"/>
      <c r="C11" s="22">
        <v>10.27</v>
      </c>
      <c r="D11" s="22">
        <v>10.68</v>
      </c>
      <c r="E11" s="10"/>
      <c r="F11" s="10"/>
      <c r="G11" s="10"/>
      <c r="H11" s="10"/>
      <c r="I11" s="20"/>
    </row>
    <row r="12" spans="1:9" ht="15.75" thickBot="1" x14ac:dyDescent="0.3">
      <c r="A12" s="72" t="s">
        <v>5</v>
      </c>
      <c r="B12" s="87">
        <v>15.42</v>
      </c>
      <c r="C12" s="46">
        <v>0</v>
      </c>
      <c r="D12" s="46">
        <v>12.45</v>
      </c>
      <c r="E12" s="12"/>
      <c r="F12" s="12"/>
      <c r="G12" s="12"/>
      <c r="H12" s="12"/>
      <c r="I12" s="20">
        <f>SUM(B12:H13)</f>
        <v>27.869999999999997</v>
      </c>
    </row>
    <row r="13" spans="1:9" ht="15.75" thickBot="1" x14ac:dyDescent="0.3">
      <c r="A13" s="73"/>
      <c r="B13" s="84"/>
      <c r="C13" s="41"/>
      <c r="D13" s="41"/>
      <c r="E13" s="5"/>
      <c r="F13" s="5"/>
      <c r="G13" s="5"/>
      <c r="H13" s="5"/>
      <c r="I13" s="20"/>
    </row>
    <row r="14" spans="1:9" ht="15.75" thickBot="1" x14ac:dyDescent="0.3">
      <c r="A14" s="72" t="s">
        <v>6</v>
      </c>
      <c r="B14" s="88">
        <v>4.01</v>
      </c>
      <c r="C14" s="89">
        <v>0</v>
      </c>
      <c r="D14" s="89">
        <v>0</v>
      </c>
      <c r="E14" s="8"/>
      <c r="F14" s="8"/>
      <c r="G14" s="8"/>
      <c r="H14" s="8"/>
      <c r="I14" s="20">
        <f>SUM(B14:H15)</f>
        <v>4.01</v>
      </c>
    </row>
    <row r="15" spans="1:9" ht="15.75" thickBot="1" x14ac:dyDescent="0.3">
      <c r="A15" s="73"/>
      <c r="B15" s="86"/>
      <c r="C15" s="23"/>
      <c r="D15" s="23"/>
      <c r="E15" s="10"/>
      <c r="F15" s="10"/>
      <c r="G15" s="10"/>
      <c r="H15" s="10"/>
      <c r="I15" s="20"/>
    </row>
    <row r="16" spans="1:9" ht="15.75" thickBot="1" x14ac:dyDescent="0.3">
      <c r="A16" s="72" t="s">
        <v>7</v>
      </c>
      <c r="B16" s="87">
        <v>8.6199999999999992</v>
      </c>
      <c r="C16" s="46">
        <v>10.23</v>
      </c>
      <c r="D16" s="46">
        <v>7.45</v>
      </c>
      <c r="E16" s="12"/>
      <c r="F16" s="12"/>
      <c r="G16" s="12"/>
      <c r="H16" s="12"/>
      <c r="I16" s="20">
        <f>SUM(B16:H19)</f>
        <v>31.061999999999998</v>
      </c>
    </row>
    <row r="17" spans="1:9" ht="15.75" thickBot="1" x14ac:dyDescent="0.3">
      <c r="A17" s="73"/>
      <c r="B17" s="87">
        <v>3.86</v>
      </c>
      <c r="C17" s="41"/>
      <c r="D17" s="46">
        <v>0.55100000000000005</v>
      </c>
      <c r="E17" s="12"/>
      <c r="F17" s="12"/>
      <c r="G17" s="12"/>
      <c r="H17" s="12"/>
      <c r="I17" s="6"/>
    </row>
    <row r="18" spans="1:9" ht="15.75" thickBot="1" x14ac:dyDescent="0.3">
      <c r="A18" s="18"/>
      <c r="B18" s="84"/>
      <c r="C18" s="41"/>
      <c r="D18" s="46">
        <v>0.35099999999999998</v>
      </c>
      <c r="E18" s="12"/>
      <c r="F18" s="12"/>
      <c r="G18" s="12"/>
      <c r="H18" s="12"/>
      <c r="I18" s="6"/>
    </row>
    <row r="19" spans="1:9" ht="15.75" thickBot="1" x14ac:dyDescent="0.3">
      <c r="A19" s="18"/>
      <c r="B19" s="11"/>
      <c r="C19" s="5"/>
      <c r="D19" s="5"/>
      <c r="E19" s="12"/>
      <c r="F19" s="12"/>
      <c r="G19" s="12"/>
      <c r="H19" s="12"/>
      <c r="I19" s="6"/>
    </row>
    <row r="20" spans="1:9" ht="15.75" thickBot="1" x14ac:dyDescent="0.3">
      <c r="A20" s="1" t="s">
        <v>8</v>
      </c>
      <c r="B20" s="13">
        <f>SUM(B4:B19)</f>
        <v>79.750000000000014</v>
      </c>
      <c r="C20" s="14">
        <f t="shared" ref="C20:H20" si="0">SUM(C4:C19)</f>
        <v>77.56</v>
      </c>
      <c r="D20" s="14">
        <f t="shared" si="0"/>
        <v>86.191999999999993</v>
      </c>
      <c r="E20" s="14">
        <f t="shared" si="0"/>
        <v>0</v>
      </c>
      <c r="F20" s="14">
        <f t="shared" si="0"/>
        <v>0</v>
      </c>
      <c r="G20" s="14">
        <f t="shared" si="0"/>
        <v>0</v>
      </c>
      <c r="H20" s="14">
        <f t="shared" si="0"/>
        <v>0</v>
      </c>
      <c r="I20" s="15"/>
    </row>
    <row r="21" spans="1:9" ht="24" thickBot="1" x14ac:dyDescent="0.3">
      <c r="A21" s="2" t="s">
        <v>9</v>
      </c>
      <c r="B21" s="80">
        <f>SUM(B20:H20)</f>
        <v>243.50200000000001</v>
      </c>
      <c r="C21" s="81"/>
      <c r="D21" s="81"/>
      <c r="E21" s="81"/>
      <c r="F21" s="81"/>
      <c r="G21" s="81"/>
      <c r="H21" s="82"/>
      <c r="I21" s="16"/>
    </row>
    <row r="22" spans="1:9" ht="45.75" thickBot="1" x14ac:dyDescent="0.3">
      <c r="A22" s="3" t="s">
        <v>10</v>
      </c>
      <c r="B22" s="77">
        <f>B840+'TUẦN 2'!B21:H21+'TUẦN 1'!B21:H21</f>
        <v>987.46999999999991</v>
      </c>
      <c r="C22" s="78"/>
      <c r="D22" s="78"/>
      <c r="E22" s="78"/>
      <c r="F22" s="78"/>
      <c r="G22" s="78"/>
      <c r="H22" s="78"/>
      <c r="I22" s="90"/>
    </row>
    <row r="23" spans="1:9" ht="15.75" thickTop="1" x14ac:dyDescent="0.25"/>
    <row r="25" spans="1:9" ht="27" thickBot="1" x14ac:dyDescent="0.3">
      <c r="A25" s="63" t="s">
        <v>13</v>
      </c>
      <c r="B25" s="63"/>
      <c r="C25" s="63"/>
      <c r="D25" s="63"/>
      <c r="E25" s="63"/>
      <c r="F25" s="63"/>
      <c r="G25" s="63"/>
      <c r="H25" s="63"/>
      <c r="I25" s="63"/>
    </row>
    <row r="26" spans="1:9" ht="15.75" thickTop="1" x14ac:dyDescent="0.25">
      <c r="A26" s="61" t="s">
        <v>0</v>
      </c>
      <c r="B26" s="66">
        <v>46027</v>
      </c>
      <c r="C26" s="68">
        <v>46028</v>
      </c>
      <c r="D26" s="68">
        <v>46029</v>
      </c>
      <c r="E26" s="68">
        <v>46030</v>
      </c>
      <c r="F26" s="68">
        <v>46031</v>
      </c>
      <c r="G26" s="68">
        <v>46032</v>
      </c>
      <c r="H26" s="68">
        <v>46033</v>
      </c>
      <c r="I26" s="64" t="s">
        <v>11</v>
      </c>
    </row>
    <row r="27" spans="1:9" ht="15.75" thickBot="1" x14ac:dyDescent="0.3">
      <c r="A27" s="62"/>
      <c r="B27" s="67"/>
      <c r="C27" s="69"/>
      <c r="D27" s="69"/>
      <c r="E27" s="69"/>
      <c r="F27" s="69"/>
      <c r="G27" s="69"/>
      <c r="H27" s="69"/>
      <c r="I27" s="65"/>
    </row>
    <row r="28" spans="1:9" ht="15.75" thickBot="1" x14ac:dyDescent="0.3">
      <c r="A28" s="72" t="s">
        <v>16</v>
      </c>
      <c r="B28" s="83">
        <v>22.31</v>
      </c>
      <c r="C28" s="38">
        <v>16.29</v>
      </c>
      <c r="D28" s="38">
        <v>16.399999999999999</v>
      </c>
      <c r="E28" s="12"/>
      <c r="F28" s="12"/>
      <c r="G28" s="12"/>
      <c r="H28" s="12"/>
      <c r="I28" s="20">
        <f>SUM(B28:H29)</f>
        <v>97.31</v>
      </c>
    </row>
    <row r="29" spans="1:9" ht="15.75" thickBot="1" x14ac:dyDescent="0.3">
      <c r="A29" s="73"/>
      <c r="B29" s="87">
        <v>16.41</v>
      </c>
      <c r="C29" s="46">
        <v>11.59</v>
      </c>
      <c r="D29" s="46">
        <v>14.31</v>
      </c>
      <c r="E29" s="5"/>
      <c r="F29" s="5"/>
      <c r="G29" s="5"/>
      <c r="H29" s="5"/>
      <c r="I29" s="20"/>
    </row>
    <row r="30" spans="1:9" ht="15.75" thickBot="1" x14ac:dyDescent="0.3">
      <c r="A30" s="72" t="s">
        <v>17</v>
      </c>
      <c r="B30" s="85">
        <v>9.5</v>
      </c>
      <c r="C30" s="22">
        <v>7.11</v>
      </c>
      <c r="D30" s="22">
        <v>12.62</v>
      </c>
      <c r="E30" s="8"/>
      <c r="F30" s="8"/>
      <c r="G30" s="8"/>
      <c r="H30" s="8"/>
      <c r="I30" s="20">
        <f>SUM(B30:H31)</f>
        <v>29.229999999999997</v>
      </c>
    </row>
    <row r="31" spans="1:9" ht="15.75" thickBot="1" x14ac:dyDescent="0.3">
      <c r="A31" s="73"/>
      <c r="B31" s="86"/>
      <c r="C31" s="23"/>
      <c r="D31" s="23"/>
      <c r="E31" s="8"/>
      <c r="F31" s="8"/>
      <c r="G31" s="10"/>
      <c r="H31" s="10"/>
      <c r="I31" s="20"/>
    </row>
    <row r="32" spans="1:9" ht="15.75" thickBot="1" x14ac:dyDescent="0.3">
      <c r="A32" s="72" t="s">
        <v>18</v>
      </c>
      <c r="B32" s="87">
        <v>6.28</v>
      </c>
      <c r="C32" s="46">
        <v>6.05</v>
      </c>
      <c r="D32" s="46">
        <v>3.32</v>
      </c>
      <c r="E32" s="12"/>
      <c r="F32" s="12"/>
      <c r="G32" s="12"/>
      <c r="H32" s="12"/>
      <c r="I32" s="20">
        <f>SUM(B32:H33)</f>
        <v>15.65</v>
      </c>
    </row>
    <row r="33" spans="1:9" ht="15.75" thickBot="1" x14ac:dyDescent="0.3">
      <c r="A33" s="73"/>
      <c r="B33" s="84"/>
      <c r="C33" s="41"/>
      <c r="D33" s="41"/>
      <c r="E33" s="5"/>
      <c r="F33" s="5"/>
      <c r="G33" s="5"/>
      <c r="H33" s="5"/>
      <c r="I33" s="20"/>
    </row>
    <row r="34" spans="1:9" ht="15.75" thickBot="1" x14ac:dyDescent="0.3">
      <c r="A34" s="72" t="s">
        <v>19</v>
      </c>
      <c r="B34" s="85">
        <v>7.03</v>
      </c>
      <c r="C34" s="22">
        <v>10.11</v>
      </c>
      <c r="D34" s="22">
        <v>8.3800000000000008</v>
      </c>
      <c r="E34" s="8"/>
      <c r="F34" s="8"/>
      <c r="G34" s="8"/>
      <c r="H34" s="8"/>
      <c r="I34" s="20">
        <f>SUM(B34:H35)</f>
        <v>70.319999999999993</v>
      </c>
    </row>
    <row r="35" spans="1:9" ht="15.75" thickBot="1" x14ac:dyDescent="0.3">
      <c r="A35" s="73"/>
      <c r="B35" s="85">
        <v>15.2</v>
      </c>
      <c r="C35" s="22">
        <v>15.47</v>
      </c>
      <c r="D35" s="22">
        <v>14.13</v>
      </c>
      <c r="E35" s="10"/>
      <c r="F35" s="10"/>
      <c r="G35" s="10"/>
      <c r="H35" s="10"/>
      <c r="I35" s="20"/>
    </row>
    <row r="36" spans="1:9" ht="15.75" thickBot="1" x14ac:dyDescent="0.3">
      <c r="A36" s="72" t="s">
        <v>20</v>
      </c>
      <c r="B36" s="87">
        <v>10.119999999999999</v>
      </c>
      <c r="C36" s="46">
        <v>3.7</v>
      </c>
      <c r="D36" s="46">
        <v>15.03</v>
      </c>
      <c r="E36" s="12"/>
      <c r="F36" s="12"/>
      <c r="G36" s="12"/>
      <c r="H36" s="12"/>
      <c r="I36" s="20">
        <f>SUM(B36:H37)</f>
        <v>83.83</v>
      </c>
    </row>
    <row r="37" spans="1:9" ht="15.75" thickBot="1" x14ac:dyDescent="0.3">
      <c r="A37" s="73"/>
      <c r="B37" s="87">
        <v>12.44</v>
      </c>
      <c r="C37" s="46">
        <v>21.07</v>
      </c>
      <c r="D37" s="46">
        <v>21.47</v>
      </c>
      <c r="E37" s="5"/>
      <c r="F37" s="5"/>
      <c r="G37" s="5"/>
      <c r="H37" s="5"/>
      <c r="I37" s="20"/>
    </row>
    <row r="38" spans="1:9" ht="15.75" thickBot="1" x14ac:dyDescent="0.3">
      <c r="A38" s="72" t="s">
        <v>21</v>
      </c>
      <c r="B38" s="85">
        <v>14.45</v>
      </c>
      <c r="C38" s="22">
        <v>10.01</v>
      </c>
      <c r="D38" s="22">
        <v>11.06</v>
      </c>
      <c r="E38" s="8"/>
      <c r="F38" s="8"/>
      <c r="G38" s="8"/>
      <c r="H38" s="8"/>
      <c r="I38" s="20">
        <f>SUM(B38:H39)</f>
        <v>75.489999999999995</v>
      </c>
    </row>
    <row r="39" spans="1:9" ht="15.75" thickBot="1" x14ac:dyDescent="0.3">
      <c r="A39" s="73"/>
      <c r="B39" s="85">
        <v>10.01</v>
      </c>
      <c r="C39" s="22">
        <v>15.04</v>
      </c>
      <c r="D39" s="22">
        <v>14.92</v>
      </c>
      <c r="E39" s="10"/>
      <c r="F39" s="10"/>
      <c r="G39" s="10"/>
      <c r="H39" s="10"/>
      <c r="I39" s="20"/>
    </row>
    <row r="40" spans="1:9" ht="15.75" thickBot="1" x14ac:dyDescent="0.3">
      <c r="A40" s="72" t="s">
        <v>22</v>
      </c>
      <c r="B40" s="87">
        <v>15.02</v>
      </c>
      <c r="C40" s="46">
        <v>15.51</v>
      </c>
      <c r="D40" s="46">
        <v>10.02</v>
      </c>
      <c r="E40" s="12"/>
      <c r="F40" s="12"/>
      <c r="G40" s="12"/>
      <c r="H40" s="12"/>
      <c r="I40" s="20">
        <f>SUM(B40:H42)</f>
        <v>40.549999999999997</v>
      </c>
    </row>
    <row r="41" spans="1:9" ht="15.75" thickBot="1" x14ac:dyDescent="0.3">
      <c r="A41" s="73"/>
      <c r="B41" s="84"/>
      <c r="C41" s="41"/>
      <c r="D41" s="41"/>
      <c r="E41" s="12"/>
      <c r="F41" s="12"/>
      <c r="G41" s="12"/>
      <c r="H41" s="12"/>
      <c r="I41" s="6"/>
    </row>
    <row r="42" spans="1:9" ht="15.75" thickBot="1" x14ac:dyDescent="0.3">
      <c r="A42" s="18"/>
      <c r="B42" s="86"/>
      <c r="C42" s="23"/>
      <c r="D42" s="23"/>
      <c r="E42" s="12"/>
      <c r="F42" s="12"/>
      <c r="G42" s="12"/>
      <c r="H42" s="12"/>
      <c r="I42" s="6"/>
    </row>
    <row r="43" spans="1:9" ht="15.75" thickBot="1" x14ac:dyDescent="0.3">
      <c r="A43" s="1" t="s">
        <v>8</v>
      </c>
      <c r="B43" s="13">
        <f>SUM(B28:B42)</f>
        <v>138.77000000000001</v>
      </c>
      <c r="C43" s="14">
        <f t="shared" ref="C43:H43" si="1">SUM(C28:C42)</f>
        <v>131.95000000000002</v>
      </c>
      <c r="D43" s="14">
        <f t="shared" si="1"/>
        <v>141.66</v>
      </c>
      <c r="E43" s="14">
        <f t="shared" si="1"/>
        <v>0</v>
      </c>
      <c r="F43" s="14">
        <f t="shared" si="1"/>
        <v>0</v>
      </c>
      <c r="G43" s="14">
        <f t="shared" si="1"/>
        <v>0</v>
      </c>
      <c r="H43" s="14">
        <f t="shared" si="1"/>
        <v>0</v>
      </c>
      <c r="I43" s="15"/>
    </row>
    <row r="44" spans="1:9" ht="24" thickBot="1" x14ac:dyDescent="0.3">
      <c r="A44" s="2" t="s">
        <v>9</v>
      </c>
      <c r="B44" s="80">
        <f>SUM(B43:H43)</f>
        <v>412.38</v>
      </c>
      <c r="C44" s="81"/>
      <c r="D44" s="81"/>
      <c r="E44" s="81"/>
      <c r="F44" s="81"/>
      <c r="G44" s="81"/>
      <c r="H44" s="82"/>
      <c r="I44" s="16"/>
    </row>
    <row r="45" spans="1:9" ht="45.75" thickBot="1" x14ac:dyDescent="0.3">
      <c r="A45" s="3" t="s">
        <v>10</v>
      </c>
      <c r="B45" s="77">
        <f>B863+'TUẦN 2'!B44:H44+'TUẦN 1'!B44:H44</f>
        <v>1353.44</v>
      </c>
      <c r="C45" s="78"/>
      <c r="D45" s="78"/>
      <c r="E45" s="78"/>
      <c r="F45" s="78"/>
      <c r="G45" s="78"/>
      <c r="H45" s="78"/>
      <c r="I45" s="90"/>
    </row>
    <row r="46" spans="1:9" ht="15.75" thickTop="1" x14ac:dyDescent="0.25"/>
    <row r="48" spans="1:9" ht="27" thickBot="1" x14ac:dyDescent="0.3">
      <c r="A48" s="63" t="s">
        <v>14</v>
      </c>
      <c r="B48" s="63"/>
      <c r="C48" s="63"/>
      <c r="D48" s="63"/>
      <c r="E48" s="63"/>
      <c r="F48" s="63"/>
      <c r="G48" s="63"/>
      <c r="H48" s="63"/>
      <c r="I48" s="63"/>
    </row>
    <row r="49" spans="1:9" ht="15.75" thickTop="1" x14ac:dyDescent="0.25">
      <c r="A49" s="61" t="s">
        <v>0</v>
      </c>
      <c r="B49" s="66">
        <v>46027</v>
      </c>
      <c r="C49" s="68">
        <v>46028</v>
      </c>
      <c r="D49" s="68">
        <v>46029</v>
      </c>
      <c r="E49" s="68">
        <v>46030</v>
      </c>
      <c r="F49" s="68">
        <v>46031</v>
      </c>
      <c r="G49" s="68">
        <v>46032</v>
      </c>
      <c r="H49" s="68">
        <v>46033</v>
      </c>
      <c r="I49" s="64" t="s">
        <v>11</v>
      </c>
    </row>
    <row r="50" spans="1:9" ht="15.75" thickBot="1" x14ac:dyDescent="0.3">
      <c r="A50" s="62"/>
      <c r="B50" s="67"/>
      <c r="C50" s="69"/>
      <c r="D50" s="69"/>
      <c r="E50" s="69"/>
      <c r="F50" s="69"/>
      <c r="G50" s="69"/>
      <c r="H50" s="69"/>
      <c r="I50" s="65"/>
    </row>
    <row r="51" spans="1:9" ht="15.75" thickBot="1" x14ac:dyDescent="0.3">
      <c r="A51" s="72" t="s">
        <v>23</v>
      </c>
      <c r="B51" s="83">
        <v>0</v>
      </c>
      <c r="C51" s="38">
        <v>16.02</v>
      </c>
      <c r="D51" s="38">
        <v>15.05</v>
      </c>
      <c r="E51" s="12"/>
      <c r="F51" s="12"/>
      <c r="G51" s="12"/>
      <c r="H51" s="12"/>
      <c r="I51" s="20">
        <f>SUM(B51:H52)</f>
        <v>31.07</v>
      </c>
    </row>
    <row r="52" spans="1:9" ht="15.75" thickBot="1" x14ac:dyDescent="0.3">
      <c r="A52" s="73"/>
      <c r="B52" s="84"/>
      <c r="C52" s="41"/>
      <c r="D52" s="41"/>
      <c r="E52" s="5"/>
      <c r="F52" s="5"/>
      <c r="G52" s="5"/>
      <c r="H52" s="5"/>
      <c r="I52" s="20"/>
    </row>
    <row r="53" spans="1:9" ht="15.75" thickBot="1" x14ac:dyDescent="0.3">
      <c r="A53" s="72" t="s">
        <v>24</v>
      </c>
      <c r="B53" s="85">
        <v>17.25</v>
      </c>
      <c r="C53" s="22">
        <v>18.09</v>
      </c>
      <c r="D53" s="22">
        <v>17.399999999999999</v>
      </c>
      <c r="E53" s="8"/>
      <c r="F53" s="8"/>
      <c r="G53" s="8"/>
      <c r="H53" s="8"/>
      <c r="I53" s="20">
        <f>SUM(B53:H54)</f>
        <v>52.74</v>
      </c>
    </row>
    <row r="54" spans="1:9" ht="15.75" thickBot="1" x14ac:dyDescent="0.3">
      <c r="A54" s="73"/>
      <c r="B54" s="86"/>
      <c r="C54" s="23"/>
      <c r="D54" s="23"/>
      <c r="E54" s="8"/>
      <c r="F54" s="8"/>
      <c r="G54" s="10"/>
      <c r="H54" s="10"/>
      <c r="I54" s="20"/>
    </row>
    <row r="55" spans="1:9" ht="15.75" thickBot="1" x14ac:dyDescent="0.3">
      <c r="A55" s="72" t="s">
        <v>25</v>
      </c>
      <c r="B55" s="87">
        <v>15</v>
      </c>
      <c r="C55" s="46">
        <v>21</v>
      </c>
      <c r="D55" s="46">
        <v>15</v>
      </c>
      <c r="E55" s="12"/>
      <c r="F55" s="12"/>
      <c r="G55" s="12"/>
      <c r="H55" s="12"/>
      <c r="I55" s="20">
        <f>SUM(B55:H56)</f>
        <v>51</v>
      </c>
    </row>
    <row r="56" spans="1:9" ht="15.75" thickBot="1" x14ac:dyDescent="0.3">
      <c r="A56" s="73"/>
      <c r="B56" s="84"/>
      <c r="C56" s="41"/>
      <c r="D56" s="41"/>
      <c r="E56" s="5"/>
      <c r="F56" s="5"/>
      <c r="G56" s="5"/>
      <c r="H56" s="5"/>
      <c r="I56" s="20"/>
    </row>
    <row r="57" spans="1:9" ht="15.75" thickBot="1" x14ac:dyDescent="0.3">
      <c r="A57" s="72" t="s">
        <v>26</v>
      </c>
      <c r="B57" s="85">
        <v>4.5999999999999996</v>
      </c>
      <c r="C57" s="22">
        <v>5.17</v>
      </c>
      <c r="D57" s="22">
        <v>8.57</v>
      </c>
      <c r="E57" s="8"/>
      <c r="F57" s="8"/>
      <c r="G57" s="8"/>
      <c r="H57" s="8"/>
      <c r="I57" s="20">
        <f>SUM(B57:H58)</f>
        <v>19.559999999999999</v>
      </c>
    </row>
    <row r="58" spans="1:9" ht="15.75" thickBot="1" x14ac:dyDescent="0.3">
      <c r="A58" s="73"/>
      <c r="B58" s="86"/>
      <c r="C58" s="22">
        <v>1.22</v>
      </c>
      <c r="D58" s="23"/>
      <c r="E58" s="10"/>
      <c r="F58" s="10"/>
      <c r="G58" s="10"/>
      <c r="H58" s="10"/>
      <c r="I58" s="20"/>
    </row>
    <row r="59" spans="1:9" ht="15.75" thickBot="1" x14ac:dyDescent="0.3">
      <c r="A59" s="72" t="s">
        <v>27</v>
      </c>
      <c r="B59" s="87">
        <v>15.3</v>
      </c>
      <c r="C59" s="46">
        <v>8.3000000000000007</v>
      </c>
      <c r="D59" s="41"/>
      <c r="E59" s="12"/>
      <c r="F59" s="12"/>
      <c r="G59" s="12"/>
      <c r="H59" s="12"/>
      <c r="I59" s="20">
        <f>SUM(B59:H60)</f>
        <v>23.6</v>
      </c>
    </row>
    <row r="60" spans="1:9" ht="15.75" thickBot="1" x14ac:dyDescent="0.3">
      <c r="A60" s="73"/>
      <c r="B60" s="84"/>
      <c r="C60" s="41"/>
      <c r="D60" s="41"/>
      <c r="E60" s="5"/>
      <c r="F60" s="5"/>
      <c r="G60" s="5"/>
      <c r="H60" s="5"/>
      <c r="I60" s="20"/>
    </row>
    <row r="61" spans="1:9" ht="15.75" thickBot="1" x14ac:dyDescent="0.3">
      <c r="A61" s="72" t="s">
        <v>28</v>
      </c>
      <c r="B61" s="85">
        <v>11.05</v>
      </c>
      <c r="C61" s="22">
        <v>8.32</v>
      </c>
      <c r="D61" s="22">
        <v>8.0299999999999994</v>
      </c>
      <c r="E61" s="8"/>
      <c r="F61" s="8"/>
      <c r="G61" s="8"/>
      <c r="H61" s="8"/>
      <c r="I61" s="20">
        <f>SUM(B61:H62)</f>
        <v>48.22</v>
      </c>
    </row>
    <row r="62" spans="1:9" ht="15.75" thickBot="1" x14ac:dyDescent="0.3">
      <c r="A62" s="73"/>
      <c r="B62" s="86"/>
      <c r="C62" s="22">
        <v>10.119999999999999</v>
      </c>
      <c r="D62" s="22">
        <v>10.7</v>
      </c>
      <c r="E62" s="10"/>
      <c r="F62" s="10"/>
      <c r="G62" s="10"/>
      <c r="H62" s="10"/>
      <c r="I62" s="20"/>
    </row>
    <row r="63" spans="1:9" ht="15.75" thickBot="1" x14ac:dyDescent="0.3">
      <c r="A63" s="72" t="s">
        <v>29</v>
      </c>
      <c r="B63" s="87">
        <v>7.26</v>
      </c>
      <c r="C63" s="46">
        <v>1.03</v>
      </c>
      <c r="D63" s="46">
        <v>8.01</v>
      </c>
      <c r="E63" s="12"/>
      <c r="F63" s="12"/>
      <c r="G63" s="12"/>
      <c r="H63" s="12"/>
      <c r="I63" s="20">
        <f>SUM(B63:H65)</f>
        <v>23.979999999999997</v>
      </c>
    </row>
    <row r="64" spans="1:9" ht="15.75" thickBot="1" x14ac:dyDescent="0.3">
      <c r="A64" s="73"/>
      <c r="B64" s="84"/>
      <c r="C64" s="46">
        <v>7.68</v>
      </c>
      <c r="D64" s="41"/>
      <c r="E64" s="12"/>
      <c r="F64" s="12"/>
      <c r="G64" s="12"/>
      <c r="H64" s="12"/>
      <c r="I64" s="6"/>
    </row>
    <row r="65" spans="1:9" ht="15.75" thickBot="1" x14ac:dyDescent="0.3">
      <c r="A65" s="18"/>
      <c r="B65" s="86"/>
      <c r="C65" s="23"/>
      <c r="D65" s="23"/>
      <c r="E65" s="12"/>
      <c r="F65" s="12"/>
      <c r="G65" s="12"/>
      <c r="H65" s="12"/>
      <c r="I65" s="6"/>
    </row>
    <row r="66" spans="1:9" ht="15.75" thickBot="1" x14ac:dyDescent="0.3">
      <c r="A66" s="1" t="s">
        <v>8</v>
      </c>
      <c r="B66" s="13">
        <f>SUM(B51:B65)</f>
        <v>70.460000000000008</v>
      </c>
      <c r="C66" s="14">
        <f t="shared" ref="C66:H66" si="2">SUM(C51:C65)</f>
        <v>96.950000000000017</v>
      </c>
      <c r="D66" s="14">
        <f t="shared" si="2"/>
        <v>82.76</v>
      </c>
      <c r="E66" s="14">
        <f t="shared" si="2"/>
        <v>0</v>
      </c>
      <c r="F66" s="14">
        <f t="shared" si="2"/>
        <v>0</v>
      </c>
      <c r="G66" s="14">
        <f t="shared" si="2"/>
        <v>0</v>
      </c>
      <c r="H66" s="14">
        <f t="shared" si="2"/>
        <v>0</v>
      </c>
      <c r="I66" s="15"/>
    </row>
    <row r="67" spans="1:9" ht="24" thickBot="1" x14ac:dyDescent="0.3">
      <c r="A67" s="2" t="s">
        <v>9</v>
      </c>
      <c r="B67" s="59">
        <f>SUM(B66:H66)</f>
        <v>250.17000000000002</v>
      </c>
      <c r="C67" s="60"/>
      <c r="D67" s="60"/>
      <c r="E67" s="60"/>
      <c r="F67" s="60"/>
      <c r="G67" s="60"/>
      <c r="H67" s="60"/>
      <c r="I67" s="16"/>
    </row>
    <row r="68" spans="1:9" ht="45.75" thickBot="1" x14ac:dyDescent="0.3">
      <c r="A68" s="3" t="s">
        <v>10</v>
      </c>
      <c r="B68" s="77">
        <f>B886+'TUẦN 2'!B67:H67+'TUẦN 1'!B67:H67</f>
        <v>1162.94</v>
      </c>
      <c r="C68" s="78"/>
      <c r="D68" s="78"/>
      <c r="E68" s="78"/>
      <c r="F68" s="78"/>
      <c r="G68" s="78"/>
      <c r="H68" s="78"/>
      <c r="I68" s="90"/>
    </row>
    <row r="69" spans="1:9" ht="15.75" thickTop="1" x14ac:dyDescent="0.25"/>
    <row r="71" spans="1:9" ht="27" thickBot="1" x14ac:dyDescent="0.3">
      <c r="A71" s="63" t="s">
        <v>15</v>
      </c>
      <c r="B71" s="63"/>
      <c r="C71" s="63"/>
      <c r="D71" s="63"/>
      <c r="E71" s="63"/>
      <c r="F71" s="63"/>
      <c r="G71" s="63"/>
      <c r="H71" s="63"/>
      <c r="I71" s="63"/>
    </row>
    <row r="72" spans="1:9" ht="15.75" thickTop="1" x14ac:dyDescent="0.25">
      <c r="A72" s="61" t="s">
        <v>0</v>
      </c>
      <c r="B72" s="66">
        <v>46027</v>
      </c>
      <c r="C72" s="68">
        <v>46028</v>
      </c>
      <c r="D72" s="68">
        <v>46029</v>
      </c>
      <c r="E72" s="68">
        <v>46030</v>
      </c>
      <c r="F72" s="68">
        <v>46031</v>
      </c>
      <c r="G72" s="68">
        <v>46032</v>
      </c>
      <c r="H72" s="68">
        <v>46033</v>
      </c>
      <c r="I72" s="64" t="s">
        <v>11</v>
      </c>
    </row>
    <row r="73" spans="1:9" ht="15.75" thickBot="1" x14ac:dyDescent="0.3">
      <c r="A73" s="62"/>
      <c r="B73" s="67"/>
      <c r="C73" s="69"/>
      <c r="D73" s="69"/>
      <c r="E73" s="69"/>
      <c r="F73" s="69"/>
      <c r="G73" s="69"/>
      <c r="H73" s="69"/>
      <c r="I73" s="65"/>
    </row>
    <row r="74" spans="1:9" ht="15.75" thickBot="1" x14ac:dyDescent="0.3">
      <c r="A74" s="72" t="s">
        <v>30</v>
      </c>
      <c r="B74" s="83">
        <v>0</v>
      </c>
      <c r="C74" s="38">
        <v>16.149999999999999</v>
      </c>
      <c r="D74" s="38">
        <v>0</v>
      </c>
      <c r="E74" s="12"/>
      <c r="F74" s="12"/>
      <c r="G74" s="12"/>
      <c r="H74" s="12"/>
      <c r="I74" s="20">
        <f>SUM(B74:H75)</f>
        <v>16.149999999999999</v>
      </c>
    </row>
    <row r="75" spans="1:9" ht="15.75" thickBot="1" x14ac:dyDescent="0.3">
      <c r="A75" s="73"/>
      <c r="B75" s="84"/>
      <c r="C75" s="41"/>
      <c r="D75" s="41"/>
      <c r="E75" s="5"/>
      <c r="F75" s="5"/>
      <c r="G75" s="5"/>
      <c r="H75" s="5"/>
      <c r="I75" s="20"/>
    </row>
    <row r="76" spans="1:9" ht="15.75" thickBot="1" x14ac:dyDescent="0.3">
      <c r="A76" s="72" t="s">
        <v>31</v>
      </c>
      <c r="B76" s="85">
        <v>0</v>
      </c>
      <c r="C76" s="22">
        <v>18.190000000000001</v>
      </c>
      <c r="D76" s="22">
        <v>10.050000000000001</v>
      </c>
      <c r="E76" s="8"/>
      <c r="F76" s="8"/>
      <c r="G76" s="8"/>
      <c r="H76" s="8"/>
      <c r="I76" s="20">
        <f>SUM(B76:H77)</f>
        <v>28.240000000000002</v>
      </c>
    </row>
    <row r="77" spans="1:9" ht="15.75" thickBot="1" x14ac:dyDescent="0.3">
      <c r="A77" s="73"/>
      <c r="B77" s="86"/>
      <c r="C77" s="23"/>
      <c r="D77" s="23"/>
      <c r="E77" s="8"/>
      <c r="F77" s="8"/>
      <c r="G77" s="10"/>
      <c r="H77" s="10"/>
      <c r="I77" s="20"/>
    </row>
    <row r="78" spans="1:9" ht="15.75" thickBot="1" x14ac:dyDescent="0.3">
      <c r="A78" s="72" t="s">
        <v>32</v>
      </c>
      <c r="B78" s="87">
        <v>3.2</v>
      </c>
      <c r="C78" s="46">
        <v>6.93</v>
      </c>
      <c r="D78" s="46">
        <v>5.63</v>
      </c>
      <c r="E78" s="12"/>
      <c r="F78" s="12"/>
      <c r="G78" s="12"/>
      <c r="H78" s="12"/>
      <c r="I78" s="20">
        <f>SUM(B78:H79)</f>
        <v>15.759999999999998</v>
      </c>
    </row>
    <row r="79" spans="1:9" ht="15.75" thickBot="1" x14ac:dyDescent="0.3">
      <c r="A79" s="73"/>
      <c r="B79" s="84"/>
      <c r="C79" s="41"/>
      <c r="D79" s="41"/>
      <c r="E79" s="5"/>
      <c r="F79" s="5"/>
      <c r="G79" s="5"/>
      <c r="H79" s="5"/>
      <c r="I79" s="20"/>
    </row>
    <row r="80" spans="1:9" ht="15.75" thickBot="1" x14ac:dyDescent="0.3">
      <c r="A80" s="72" t="s">
        <v>33</v>
      </c>
      <c r="B80" s="85">
        <v>18.07</v>
      </c>
      <c r="C80" s="22">
        <v>25.62</v>
      </c>
      <c r="D80" s="22">
        <v>18.29</v>
      </c>
      <c r="E80" s="8"/>
      <c r="F80" s="8"/>
      <c r="G80" s="8"/>
      <c r="H80" s="8"/>
      <c r="I80" s="20">
        <f>SUM(B80:H81)</f>
        <v>72.649999999999991</v>
      </c>
    </row>
    <row r="81" spans="1:9" ht="15.75" thickBot="1" x14ac:dyDescent="0.3">
      <c r="A81" s="73"/>
      <c r="B81" s="86"/>
      <c r="C81" s="23"/>
      <c r="D81" s="22">
        <v>10.67</v>
      </c>
      <c r="E81" s="10"/>
      <c r="F81" s="10"/>
      <c r="G81" s="10"/>
      <c r="H81" s="10"/>
      <c r="I81" s="20"/>
    </row>
    <row r="82" spans="1:9" ht="15.75" thickBot="1" x14ac:dyDescent="0.3">
      <c r="A82" s="72" t="s">
        <v>34</v>
      </c>
      <c r="B82" s="87">
        <v>0</v>
      </c>
      <c r="C82" s="41"/>
      <c r="D82" s="41"/>
      <c r="E82" s="12"/>
      <c r="F82" s="12"/>
      <c r="G82" s="12"/>
      <c r="H82" s="12"/>
      <c r="I82" s="20">
        <f>SUM(B82:H83)</f>
        <v>0</v>
      </c>
    </row>
    <row r="83" spans="1:9" ht="15.75" thickBot="1" x14ac:dyDescent="0.3">
      <c r="A83" s="73"/>
      <c r="B83" s="84"/>
      <c r="C83" s="41"/>
      <c r="D83" s="41"/>
      <c r="E83" s="5"/>
      <c r="F83" s="5"/>
      <c r="G83" s="5"/>
      <c r="H83" s="5"/>
      <c r="I83" s="20"/>
    </row>
    <row r="84" spans="1:9" ht="15.75" thickBot="1" x14ac:dyDescent="0.3">
      <c r="A84" s="72" t="s">
        <v>35</v>
      </c>
      <c r="B84" s="85">
        <v>13.12</v>
      </c>
      <c r="C84" s="22">
        <v>16.09</v>
      </c>
      <c r="D84" s="22">
        <v>15.41</v>
      </c>
      <c r="E84" s="8"/>
      <c r="F84" s="8"/>
      <c r="G84" s="8"/>
      <c r="H84" s="8"/>
      <c r="I84" s="20">
        <f>SUM(B84:H85)</f>
        <v>44.620000000000005</v>
      </c>
    </row>
    <row r="85" spans="1:9" ht="15.75" thickBot="1" x14ac:dyDescent="0.3">
      <c r="A85" s="73"/>
      <c r="B85" s="86"/>
      <c r="C85" s="23"/>
      <c r="D85" s="23"/>
      <c r="E85" s="10"/>
      <c r="F85" s="10"/>
      <c r="G85" s="10"/>
      <c r="H85" s="10"/>
      <c r="I85" s="20"/>
    </row>
    <row r="86" spans="1:9" ht="15.75" thickBot="1" x14ac:dyDescent="0.3">
      <c r="A86" s="72" t="s">
        <v>36</v>
      </c>
      <c r="B86" s="87">
        <v>6.34</v>
      </c>
      <c r="C86" s="46">
        <v>11.67</v>
      </c>
      <c r="D86" s="46">
        <v>10.29</v>
      </c>
      <c r="E86" s="12"/>
      <c r="F86" s="12"/>
      <c r="G86" s="12"/>
      <c r="H86" s="12"/>
      <c r="I86" s="20">
        <f>SUM(B86:H88)</f>
        <v>28.299999999999997</v>
      </c>
    </row>
    <row r="87" spans="1:9" ht="15.75" thickBot="1" x14ac:dyDescent="0.3">
      <c r="A87" s="73"/>
      <c r="B87" s="84"/>
      <c r="C87" s="41"/>
      <c r="D87" s="41"/>
      <c r="E87" s="12"/>
      <c r="F87" s="12"/>
      <c r="G87" s="12"/>
      <c r="H87" s="12"/>
      <c r="I87" s="6"/>
    </row>
    <row r="88" spans="1:9" ht="15.75" thickBot="1" x14ac:dyDescent="0.3">
      <c r="A88" s="18"/>
      <c r="B88" s="86"/>
      <c r="C88" s="23"/>
      <c r="D88" s="23"/>
      <c r="E88" s="12"/>
      <c r="F88" s="12"/>
      <c r="G88" s="12"/>
      <c r="H88" s="12"/>
      <c r="I88" s="6"/>
    </row>
    <row r="89" spans="1:9" ht="15.75" thickBot="1" x14ac:dyDescent="0.3">
      <c r="A89" s="1" t="s">
        <v>8</v>
      </c>
      <c r="B89" s="13">
        <f>SUM(B74:B88)</f>
        <v>40.730000000000004</v>
      </c>
      <c r="C89" s="14">
        <f>SUM(C74:C88)</f>
        <v>94.65</v>
      </c>
      <c r="D89" s="14">
        <f>SUM(D74:D88)</f>
        <v>70.34</v>
      </c>
      <c r="E89" s="14">
        <f>SUM(E74:E88)</f>
        <v>0</v>
      </c>
      <c r="F89" s="14">
        <f>SUM(F74:F88)</f>
        <v>0</v>
      </c>
      <c r="G89" s="14">
        <f>SUM(G74:G88)</f>
        <v>0</v>
      </c>
      <c r="H89" s="14">
        <f>SUM(H74:H88)</f>
        <v>0</v>
      </c>
      <c r="I89" s="15"/>
    </row>
    <row r="90" spans="1:9" ht="24" thickBot="1" x14ac:dyDescent="0.3">
      <c r="A90" s="2" t="s">
        <v>9</v>
      </c>
      <c r="B90" s="59">
        <f>SUM(B89:H89)</f>
        <v>205.72</v>
      </c>
      <c r="C90" s="60"/>
      <c r="D90" s="60"/>
      <c r="E90" s="60"/>
      <c r="F90" s="60"/>
      <c r="G90" s="60"/>
      <c r="H90" s="60"/>
      <c r="I90" s="16"/>
    </row>
    <row r="91" spans="1:9" ht="45.75" thickBot="1" x14ac:dyDescent="0.3">
      <c r="A91" s="3" t="s">
        <v>10</v>
      </c>
      <c r="B91" s="77">
        <f>B910+'TUẦN 2'!B91:H91+'TUẦN 1'!B91:H91</f>
        <v>997.44</v>
      </c>
      <c r="C91" s="78"/>
      <c r="D91" s="78"/>
      <c r="E91" s="78"/>
      <c r="F91" s="78"/>
      <c r="G91" s="78"/>
      <c r="H91" s="78"/>
      <c r="I91" s="90"/>
    </row>
    <row r="92" spans="1:9" ht="15.75" thickTop="1" x14ac:dyDescent="0.25"/>
  </sheetData>
  <mergeCells count="76">
    <mergeCell ref="I49:I50"/>
    <mergeCell ref="A63:A64"/>
    <mergeCell ref="A71:I71"/>
    <mergeCell ref="B72:B73"/>
    <mergeCell ref="C72:C73"/>
    <mergeCell ref="D72:D73"/>
    <mergeCell ref="E72:E73"/>
    <mergeCell ref="F72:F73"/>
    <mergeCell ref="G72:G73"/>
    <mergeCell ref="B49:B50"/>
    <mergeCell ref="C49:C50"/>
    <mergeCell ref="D49:D50"/>
    <mergeCell ref="B91:I91"/>
    <mergeCell ref="B68:I68"/>
    <mergeCell ref="A40:A41"/>
    <mergeCell ref="A48:I48"/>
    <mergeCell ref="A86:A87"/>
    <mergeCell ref="B90:H90"/>
    <mergeCell ref="H72:H73"/>
    <mergeCell ref="I72:I73"/>
    <mergeCell ref="B67:H67"/>
    <mergeCell ref="B44:H44"/>
    <mergeCell ref="A84:A85"/>
    <mergeCell ref="A80:A81"/>
    <mergeCell ref="A82:A83"/>
    <mergeCell ref="E49:E50"/>
    <mergeCell ref="F49:F50"/>
    <mergeCell ref="B45:I45"/>
    <mergeCell ref="A38:A39"/>
    <mergeCell ref="A26:A27"/>
    <mergeCell ref="A28:A29"/>
    <mergeCell ref="A30:A31"/>
    <mergeCell ref="A32:A33"/>
    <mergeCell ref="A25:I25"/>
    <mergeCell ref="B26:B27"/>
    <mergeCell ref="C26:C27"/>
    <mergeCell ref="D26:D27"/>
    <mergeCell ref="E26:E27"/>
    <mergeCell ref="F26:F27"/>
    <mergeCell ref="G26:G27"/>
    <mergeCell ref="H26:H27"/>
    <mergeCell ref="I26:I27"/>
    <mergeCell ref="B22:I22"/>
    <mergeCell ref="B21:H21"/>
    <mergeCell ref="A72:A73"/>
    <mergeCell ref="A74:A75"/>
    <mergeCell ref="A76:A77"/>
    <mergeCell ref="A78:A79"/>
    <mergeCell ref="A53:A54"/>
    <mergeCell ref="A55:A56"/>
    <mergeCell ref="A57:A58"/>
    <mergeCell ref="A59:A60"/>
    <mergeCell ref="A61:A62"/>
    <mergeCell ref="A49:A50"/>
    <mergeCell ref="A51:A52"/>
    <mergeCell ref="G49:G50"/>
    <mergeCell ref="H49:H50"/>
    <mergeCell ref="A34:A35"/>
    <mergeCell ref="A36:A37"/>
    <mergeCell ref="A16:A17"/>
    <mergeCell ref="A4:A5"/>
    <mergeCell ref="A6:A7"/>
    <mergeCell ref="A8:A9"/>
    <mergeCell ref="A10:A11"/>
    <mergeCell ref="A12:A13"/>
    <mergeCell ref="A14:A15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topLeftCell="A52" zoomScale="145" zoomScaleNormal="145" workbookViewId="0">
      <selection activeCell="J106" sqref="J106"/>
    </sheetView>
  </sheetViews>
  <sheetFormatPr defaultRowHeight="15" x14ac:dyDescent="0.25"/>
  <cols>
    <col min="1" max="1" width="16.42578125" bestFit="1" customWidth="1"/>
    <col min="9" max="9" width="17.7109375" customWidth="1"/>
  </cols>
  <sheetData>
    <row r="1" spans="1:9" ht="33.75" customHeight="1" thickBot="1" x14ac:dyDescent="0.3">
      <c r="A1" s="63" t="s">
        <v>12</v>
      </c>
      <c r="B1" s="63"/>
      <c r="C1" s="63"/>
      <c r="D1" s="63"/>
      <c r="E1" s="63"/>
      <c r="F1" s="63"/>
      <c r="G1" s="63"/>
      <c r="H1" s="63"/>
      <c r="I1" s="63"/>
    </row>
    <row r="2" spans="1:9" ht="31.5" customHeight="1" thickTop="1" x14ac:dyDescent="0.25">
      <c r="A2" s="61" t="s">
        <v>0</v>
      </c>
      <c r="B2" s="66">
        <v>46034</v>
      </c>
      <c r="C2" s="66">
        <v>46035</v>
      </c>
      <c r="D2" s="66">
        <v>46036</v>
      </c>
      <c r="E2" s="66">
        <v>46037</v>
      </c>
      <c r="F2" s="66">
        <v>46038</v>
      </c>
      <c r="G2" s="66">
        <v>46039</v>
      </c>
      <c r="H2" s="66">
        <v>46040</v>
      </c>
      <c r="I2" s="64" t="s">
        <v>11</v>
      </c>
    </row>
    <row r="3" spans="1:9" ht="15.75" thickBot="1" x14ac:dyDescent="0.3">
      <c r="A3" s="62"/>
      <c r="B3" s="67"/>
      <c r="C3" s="67"/>
      <c r="D3" s="67"/>
      <c r="E3" s="67"/>
      <c r="F3" s="67"/>
      <c r="G3" s="67"/>
      <c r="H3" s="67"/>
      <c r="I3" s="65"/>
    </row>
    <row r="4" spans="1:9" x14ac:dyDescent="0.25">
      <c r="A4" s="57" t="s">
        <v>1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6">
        <f>SUM(B4:H5)</f>
        <v>0</v>
      </c>
    </row>
    <row r="5" spans="1:9" ht="15.75" thickBot="1" x14ac:dyDescent="0.3">
      <c r="A5" s="58"/>
      <c r="B5" s="4"/>
      <c r="C5" s="5"/>
      <c r="D5" s="5"/>
      <c r="E5" s="5"/>
      <c r="F5" s="5"/>
      <c r="G5" s="5"/>
      <c r="H5" s="5"/>
      <c r="I5" s="6"/>
    </row>
    <row r="6" spans="1:9" x14ac:dyDescent="0.25">
      <c r="A6" s="57" t="s">
        <v>2</v>
      </c>
      <c r="B6" s="7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6">
        <f>SUM(B6:H7)</f>
        <v>0</v>
      </c>
    </row>
    <row r="7" spans="1:9" ht="15.75" thickBot="1" x14ac:dyDescent="0.3">
      <c r="A7" s="58"/>
      <c r="B7" s="9"/>
      <c r="C7" s="8"/>
      <c r="D7" s="10"/>
      <c r="E7" s="8"/>
      <c r="F7" s="8"/>
      <c r="G7" s="10"/>
      <c r="H7" s="10"/>
      <c r="I7" s="6"/>
    </row>
    <row r="8" spans="1:9" x14ac:dyDescent="0.25">
      <c r="A8" s="57" t="s">
        <v>3</v>
      </c>
      <c r="B8" s="11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6">
        <f>SUM(B8:H9)</f>
        <v>0</v>
      </c>
    </row>
    <row r="9" spans="1:9" ht="15.75" thickBot="1" x14ac:dyDescent="0.3">
      <c r="A9" s="58"/>
      <c r="B9" s="11"/>
      <c r="C9" s="5"/>
      <c r="D9" s="5"/>
      <c r="E9" s="5"/>
      <c r="F9" s="5"/>
      <c r="G9" s="5"/>
      <c r="H9" s="5"/>
      <c r="I9" s="6"/>
    </row>
    <row r="10" spans="1:9" x14ac:dyDescent="0.25">
      <c r="A10" s="57" t="s">
        <v>4</v>
      </c>
      <c r="B10" s="7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6">
        <f>SUM(B10:H11)</f>
        <v>0</v>
      </c>
    </row>
    <row r="11" spans="1:9" ht="15.75" thickBot="1" x14ac:dyDescent="0.3">
      <c r="A11" s="58"/>
      <c r="B11" s="7"/>
      <c r="C11" s="10"/>
      <c r="D11" s="10"/>
      <c r="E11" s="10"/>
      <c r="F11" s="10"/>
      <c r="G11" s="10"/>
      <c r="H11" s="10"/>
      <c r="I11" s="6"/>
    </row>
    <row r="12" spans="1:9" x14ac:dyDescent="0.25">
      <c r="A12" s="57" t="s">
        <v>5</v>
      </c>
      <c r="B12" s="11"/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6">
        <f>SUM(B12:H13)</f>
        <v>0</v>
      </c>
    </row>
    <row r="13" spans="1:9" ht="15.75" thickBot="1" x14ac:dyDescent="0.3">
      <c r="A13" s="58"/>
      <c r="B13" s="4"/>
      <c r="C13" s="5"/>
      <c r="D13" s="5"/>
      <c r="E13" s="5"/>
      <c r="F13" s="5"/>
      <c r="G13" s="5"/>
      <c r="H13" s="5"/>
      <c r="I13" s="6"/>
    </row>
    <row r="14" spans="1:9" x14ac:dyDescent="0.25">
      <c r="A14" s="57" t="s">
        <v>6</v>
      </c>
      <c r="B14" s="7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6">
        <f>SUM(B14:H15)</f>
        <v>0</v>
      </c>
    </row>
    <row r="15" spans="1:9" ht="15.75" thickBot="1" x14ac:dyDescent="0.3">
      <c r="A15" s="58"/>
      <c r="B15" s="9"/>
      <c r="C15" s="10"/>
      <c r="D15" s="10"/>
      <c r="E15" s="10"/>
      <c r="F15" s="10"/>
      <c r="G15" s="10"/>
      <c r="H15" s="10"/>
      <c r="I15" s="6"/>
    </row>
    <row r="16" spans="1:9" x14ac:dyDescent="0.25">
      <c r="A16" s="57" t="s">
        <v>7</v>
      </c>
      <c r="B16" s="11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6">
        <f>SUM(B16:H19)</f>
        <v>0</v>
      </c>
    </row>
    <row r="17" spans="1:9" ht="15.75" thickBot="1" x14ac:dyDescent="0.3">
      <c r="A17" s="58"/>
      <c r="B17" s="11"/>
      <c r="C17" s="5"/>
      <c r="D17" s="5"/>
      <c r="E17" s="12"/>
      <c r="F17" s="12"/>
      <c r="G17" s="12"/>
      <c r="H17" s="12"/>
      <c r="I17" s="6"/>
    </row>
    <row r="18" spans="1:9" ht="15.75" thickBot="1" x14ac:dyDescent="0.3">
      <c r="A18" s="18"/>
      <c r="B18" s="11"/>
      <c r="C18" s="5"/>
      <c r="D18" s="5"/>
      <c r="E18" s="12"/>
      <c r="F18" s="12"/>
      <c r="G18" s="12"/>
      <c r="H18" s="12"/>
      <c r="I18" s="6"/>
    </row>
    <row r="19" spans="1:9" ht="15.75" thickBot="1" x14ac:dyDescent="0.3">
      <c r="A19" s="18"/>
      <c r="B19" s="11"/>
      <c r="C19" s="5"/>
      <c r="D19" s="5"/>
      <c r="E19" s="12"/>
      <c r="F19" s="12"/>
      <c r="G19" s="12"/>
      <c r="H19" s="12"/>
      <c r="I19" s="6"/>
    </row>
    <row r="20" spans="1:9" ht="15.75" thickBot="1" x14ac:dyDescent="0.3">
      <c r="A20" s="1" t="s">
        <v>8</v>
      </c>
      <c r="B20" s="13">
        <f>SUM(B4:B19)</f>
        <v>0</v>
      </c>
      <c r="C20" s="14">
        <f t="shared" ref="C20:H20" si="0">SUM(C4:C19)</f>
        <v>0</v>
      </c>
      <c r="D20" s="14">
        <f t="shared" si="0"/>
        <v>0</v>
      </c>
      <c r="E20" s="14">
        <f t="shared" si="0"/>
        <v>0</v>
      </c>
      <c r="F20" s="14">
        <f t="shared" si="0"/>
        <v>0</v>
      </c>
      <c r="G20" s="14">
        <f t="shared" si="0"/>
        <v>0</v>
      </c>
      <c r="H20" s="14">
        <f t="shared" si="0"/>
        <v>0</v>
      </c>
      <c r="I20" s="15"/>
    </row>
    <row r="21" spans="1:9" ht="24" thickBot="1" x14ac:dyDescent="0.3">
      <c r="A21" s="2" t="s">
        <v>9</v>
      </c>
      <c r="B21" s="59">
        <f>SUM(B20:H20)</f>
        <v>0</v>
      </c>
      <c r="C21" s="60"/>
      <c r="D21" s="60"/>
      <c r="E21" s="60"/>
      <c r="F21" s="60"/>
      <c r="G21" s="60"/>
      <c r="H21" s="60"/>
      <c r="I21" s="16"/>
    </row>
    <row r="22" spans="1:9" ht="45.75" thickBot="1" x14ac:dyDescent="0.3">
      <c r="A22" s="3" t="s">
        <v>10</v>
      </c>
      <c r="B22" s="77">
        <f>B21+'TUẦN 3'!B21:H21+'TUẦN 2'!B21:H21+'TUẦN 1'!B21:H21</f>
        <v>1230.972</v>
      </c>
      <c r="C22" s="78"/>
      <c r="D22" s="78"/>
      <c r="E22" s="78"/>
      <c r="F22" s="78"/>
      <c r="G22" s="78"/>
      <c r="H22" s="78"/>
      <c r="I22" s="90"/>
    </row>
    <row r="23" spans="1:9" ht="15.75" thickTop="1" x14ac:dyDescent="0.25"/>
    <row r="25" spans="1:9" ht="32.25" customHeight="1" thickBot="1" x14ac:dyDescent="0.3">
      <c r="A25" s="63" t="s">
        <v>13</v>
      </c>
      <c r="B25" s="63"/>
      <c r="C25" s="63"/>
      <c r="D25" s="63"/>
      <c r="E25" s="63"/>
      <c r="F25" s="63"/>
      <c r="G25" s="63"/>
      <c r="H25" s="63"/>
      <c r="I25" s="63"/>
    </row>
    <row r="26" spans="1:9" ht="15.75" thickTop="1" x14ac:dyDescent="0.25">
      <c r="A26" s="61" t="s">
        <v>0</v>
      </c>
      <c r="B26" s="66">
        <v>46385</v>
      </c>
      <c r="C26" s="68">
        <v>46386</v>
      </c>
      <c r="D26" s="68">
        <v>46387</v>
      </c>
      <c r="E26" s="68">
        <v>46023</v>
      </c>
      <c r="F26" s="68">
        <v>46024</v>
      </c>
      <c r="G26" s="68">
        <v>46025</v>
      </c>
      <c r="H26" s="68">
        <v>46026</v>
      </c>
      <c r="I26" s="64" t="s">
        <v>11</v>
      </c>
    </row>
    <row r="27" spans="1:9" ht="15.75" thickBot="1" x14ac:dyDescent="0.3">
      <c r="A27" s="62"/>
      <c r="B27" s="67"/>
      <c r="C27" s="69"/>
      <c r="D27" s="69"/>
      <c r="E27" s="69"/>
      <c r="F27" s="69"/>
      <c r="G27" s="69"/>
      <c r="H27" s="69"/>
      <c r="I27" s="65"/>
    </row>
    <row r="28" spans="1:9" x14ac:dyDescent="0.25">
      <c r="A28" s="72" t="s">
        <v>16</v>
      </c>
      <c r="B28" s="11"/>
      <c r="C28" s="12"/>
      <c r="D28" s="12"/>
      <c r="E28" s="12"/>
      <c r="F28" s="12"/>
      <c r="G28" s="12"/>
      <c r="H28" s="12"/>
      <c r="I28" s="6">
        <f>SUM(B28:H29)</f>
        <v>0</v>
      </c>
    </row>
    <row r="29" spans="1:9" ht="15.75" thickBot="1" x14ac:dyDescent="0.3">
      <c r="A29" s="73"/>
      <c r="B29" s="4"/>
      <c r="C29" s="5"/>
      <c r="D29" s="5"/>
      <c r="E29" s="5"/>
      <c r="F29" s="5"/>
      <c r="G29" s="5"/>
      <c r="H29" s="5"/>
      <c r="I29" s="6"/>
    </row>
    <row r="30" spans="1:9" x14ac:dyDescent="0.25">
      <c r="A30" s="72" t="s">
        <v>17</v>
      </c>
      <c r="B30" s="7"/>
      <c r="C30" s="8"/>
      <c r="D30" s="8"/>
      <c r="E30" s="8"/>
      <c r="F30" s="8"/>
      <c r="G30" s="8"/>
      <c r="H30" s="8"/>
      <c r="I30" s="6">
        <f>SUM(B30:H31)</f>
        <v>0</v>
      </c>
    </row>
    <row r="31" spans="1:9" ht="15.75" thickBot="1" x14ac:dyDescent="0.3">
      <c r="A31" s="73"/>
      <c r="B31" s="9"/>
      <c r="C31" s="8"/>
      <c r="D31" s="10"/>
      <c r="E31" s="8"/>
      <c r="F31" s="8"/>
      <c r="G31" s="10"/>
      <c r="H31" s="10"/>
      <c r="I31" s="6"/>
    </row>
    <row r="32" spans="1:9" x14ac:dyDescent="0.25">
      <c r="A32" s="72" t="s">
        <v>18</v>
      </c>
      <c r="B32" s="11"/>
      <c r="C32" s="12"/>
      <c r="D32" s="12"/>
      <c r="E32" s="12"/>
      <c r="F32" s="12"/>
      <c r="G32" s="12"/>
      <c r="H32" s="12"/>
      <c r="I32" s="6">
        <f>SUM(B32:H33)</f>
        <v>0</v>
      </c>
    </row>
    <row r="33" spans="1:9" ht="15.75" thickBot="1" x14ac:dyDescent="0.3">
      <c r="A33" s="73"/>
      <c r="B33" s="11"/>
      <c r="C33" s="5"/>
      <c r="D33" s="5"/>
      <c r="E33" s="5"/>
      <c r="F33" s="5"/>
      <c r="G33" s="5"/>
      <c r="H33" s="5"/>
      <c r="I33" s="6"/>
    </row>
    <row r="34" spans="1:9" x14ac:dyDescent="0.25">
      <c r="A34" s="72" t="s">
        <v>19</v>
      </c>
      <c r="B34" s="7"/>
      <c r="C34" s="8"/>
      <c r="D34" s="8"/>
      <c r="E34" s="8"/>
      <c r="F34" s="8"/>
      <c r="G34" s="8"/>
      <c r="H34" s="8"/>
      <c r="I34" s="6">
        <f>SUM(B34:H35)</f>
        <v>0</v>
      </c>
    </row>
    <row r="35" spans="1:9" ht="15.75" thickBot="1" x14ac:dyDescent="0.3">
      <c r="A35" s="73"/>
      <c r="B35" s="7"/>
      <c r="C35" s="10"/>
      <c r="D35" s="10"/>
      <c r="E35" s="10"/>
      <c r="F35" s="10"/>
      <c r="G35" s="10"/>
      <c r="H35" s="10"/>
      <c r="I35" s="6"/>
    </row>
    <row r="36" spans="1:9" x14ac:dyDescent="0.25">
      <c r="A36" s="72" t="s">
        <v>20</v>
      </c>
      <c r="B36" s="11"/>
      <c r="C36" s="12"/>
      <c r="D36" s="12"/>
      <c r="E36" s="12"/>
      <c r="F36" s="12"/>
      <c r="G36" s="12"/>
      <c r="H36" s="12"/>
      <c r="I36" s="6">
        <f>SUM(B36:H37)</f>
        <v>0</v>
      </c>
    </row>
    <row r="37" spans="1:9" ht="15.75" thickBot="1" x14ac:dyDescent="0.3">
      <c r="A37" s="73"/>
      <c r="B37" s="4"/>
      <c r="C37" s="5"/>
      <c r="D37" s="5"/>
      <c r="E37" s="5"/>
      <c r="F37" s="5"/>
      <c r="G37" s="5"/>
      <c r="H37" s="5"/>
      <c r="I37" s="6"/>
    </row>
    <row r="38" spans="1:9" x14ac:dyDescent="0.25">
      <c r="A38" s="72" t="s">
        <v>21</v>
      </c>
      <c r="B38" s="7"/>
      <c r="C38" s="8"/>
      <c r="D38" s="8"/>
      <c r="E38" s="8"/>
      <c r="F38" s="8"/>
      <c r="G38" s="8"/>
      <c r="H38" s="8"/>
      <c r="I38" s="6">
        <f>SUM(B38:H39)</f>
        <v>0</v>
      </c>
    </row>
    <row r="39" spans="1:9" ht="15.75" thickBot="1" x14ac:dyDescent="0.3">
      <c r="A39" s="73"/>
      <c r="B39" s="9"/>
      <c r="C39" s="10"/>
      <c r="D39" s="10"/>
      <c r="E39" s="10"/>
      <c r="F39" s="10"/>
      <c r="G39" s="10"/>
      <c r="H39" s="10"/>
      <c r="I39" s="6"/>
    </row>
    <row r="40" spans="1:9" x14ac:dyDescent="0.25">
      <c r="A40" s="72" t="s">
        <v>22</v>
      </c>
      <c r="B40" s="11"/>
      <c r="C40" s="12"/>
      <c r="D40" s="12"/>
      <c r="E40" s="12"/>
      <c r="F40" s="12"/>
      <c r="G40" s="12"/>
      <c r="H40" s="12"/>
      <c r="I40" s="6">
        <f>SUM(B40:H42)</f>
        <v>0</v>
      </c>
    </row>
    <row r="41" spans="1:9" ht="15.75" thickBot="1" x14ac:dyDescent="0.3">
      <c r="A41" s="73"/>
      <c r="B41" s="11"/>
      <c r="C41" s="5"/>
      <c r="D41" s="5"/>
      <c r="E41" s="12"/>
      <c r="F41" s="12"/>
      <c r="G41" s="12"/>
      <c r="H41" s="12"/>
      <c r="I41" s="6"/>
    </row>
    <row r="42" spans="1:9" ht="15.75" thickBot="1" x14ac:dyDescent="0.3">
      <c r="A42" s="18"/>
      <c r="B42" s="11"/>
      <c r="C42" s="5"/>
      <c r="D42" s="5"/>
      <c r="E42" s="12"/>
      <c r="F42" s="12"/>
      <c r="G42" s="12"/>
      <c r="H42" s="12"/>
      <c r="I42" s="6"/>
    </row>
    <row r="43" spans="1:9" ht="15.75" thickBot="1" x14ac:dyDescent="0.3">
      <c r="A43" s="1" t="s">
        <v>8</v>
      </c>
      <c r="B43" s="13">
        <f>SUM(B28:B42)</f>
        <v>0</v>
      </c>
      <c r="C43" s="14">
        <f t="shared" ref="C43:H43" si="1">SUM(C28:C42)</f>
        <v>0</v>
      </c>
      <c r="D43" s="14">
        <f t="shared" si="1"/>
        <v>0</v>
      </c>
      <c r="E43" s="14">
        <f t="shared" si="1"/>
        <v>0</v>
      </c>
      <c r="F43" s="14">
        <f t="shared" si="1"/>
        <v>0</v>
      </c>
      <c r="G43" s="14">
        <f t="shared" si="1"/>
        <v>0</v>
      </c>
      <c r="H43" s="14">
        <f t="shared" si="1"/>
        <v>0</v>
      </c>
      <c r="I43" s="15"/>
    </row>
    <row r="44" spans="1:9" ht="24" thickBot="1" x14ac:dyDescent="0.3">
      <c r="A44" s="2" t="s">
        <v>9</v>
      </c>
      <c r="B44" s="59">
        <f>SUM(B43:H43)</f>
        <v>0</v>
      </c>
      <c r="C44" s="60"/>
      <c r="D44" s="60"/>
      <c r="E44" s="60"/>
      <c r="F44" s="60"/>
      <c r="G44" s="60"/>
      <c r="H44" s="60"/>
      <c r="I44" s="16"/>
    </row>
    <row r="45" spans="1:9" ht="45.75" thickBot="1" x14ac:dyDescent="0.3">
      <c r="A45" s="3" t="s">
        <v>10</v>
      </c>
      <c r="B45" s="77">
        <f>B44+'TUẦN 3'!B44:H44+'TUẦN 2'!B44:H44+'TUẦN 1'!B44:H44</f>
        <v>1765.8200000000002</v>
      </c>
      <c r="C45" s="78"/>
      <c r="D45" s="78"/>
      <c r="E45" s="78"/>
      <c r="F45" s="78"/>
      <c r="G45" s="78"/>
      <c r="H45" s="78"/>
      <c r="I45" s="90"/>
    </row>
    <row r="46" spans="1:9" ht="15.75" thickTop="1" x14ac:dyDescent="0.25"/>
    <row r="48" spans="1:9" ht="33.75" customHeight="1" thickBot="1" x14ac:dyDescent="0.3">
      <c r="A48" s="63" t="s">
        <v>14</v>
      </c>
      <c r="B48" s="63"/>
      <c r="C48" s="63"/>
      <c r="D48" s="63"/>
      <c r="E48" s="63"/>
      <c r="F48" s="63"/>
      <c r="G48" s="63"/>
      <c r="H48" s="63"/>
      <c r="I48" s="63"/>
    </row>
    <row r="49" spans="1:9" ht="15.75" thickTop="1" x14ac:dyDescent="0.25">
      <c r="A49" s="61" t="s">
        <v>0</v>
      </c>
      <c r="B49" s="66">
        <v>46385</v>
      </c>
      <c r="C49" s="68">
        <v>46386</v>
      </c>
      <c r="D49" s="68">
        <v>46387</v>
      </c>
      <c r="E49" s="68">
        <v>46023</v>
      </c>
      <c r="F49" s="68">
        <v>46024</v>
      </c>
      <c r="G49" s="68">
        <v>46025</v>
      </c>
      <c r="H49" s="68">
        <v>46026</v>
      </c>
      <c r="I49" s="64" t="s">
        <v>11</v>
      </c>
    </row>
    <row r="50" spans="1:9" ht="15.75" thickBot="1" x14ac:dyDescent="0.3">
      <c r="A50" s="62"/>
      <c r="B50" s="67"/>
      <c r="C50" s="69"/>
      <c r="D50" s="69"/>
      <c r="E50" s="69"/>
      <c r="F50" s="69"/>
      <c r="G50" s="69"/>
      <c r="H50" s="69"/>
      <c r="I50" s="65"/>
    </row>
    <row r="51" spans="1:9" x14ac:dyDescent="0.25">
      <c r="A51" s="72" t="s">
        <v>23</v>
      </c>
      <c r="B51" s="11"/>
      <c r="C51" s="12"/>
      <c r="D51" s="12"/>
      <c r="E51" s="12"/>
      <c r="F51" s="12"/>
      <c r="G51" s="12"/>
      <c r="H51" s="12"/>
      <c r="I51" s="6">
        <f>SUM(B51:H52)</f>
        <v>0</v>
      </c>
    </row>
    <row r="52" spans="1:9" ht="15.75" thickBot="1" x14ac:dyDescent="0.3">
      <c r="A52" s="73"/>
      <c r="B52" s="4"/>
      <c r="C52" s="5"/>
      <c r="D52" s="5"/>
      <c r="E52" s="5"/>
      <c r="F52" s="5"/>
      <c r="G52" s="5"/>
      <c r="H52" s="5"/>
      <c r="I52" s="6"/>
    </row>
    <row r="53" spans="1:9" x14ac:dyDescent="0.25">
      <c r="A53" s="72" t="s">
        <v>24</v>
      </c>
      <c r="B53" s="7"/>
      <c r="C53" s="8"/>
      <c r="D53" s="8"/>
      <c r="E53" s="8"/>
      <c r="F53" s="8"/>
      <c r="G53" s="8"/>
      <c r="H53" s="8"/>
      <c r="I53" s="6">
        <f>SUM(B53:H54)</f>
        <v>0</v>
      </c>
    </row>
    <row r="54" spans="1:9" ht="15.75" thickBot="1" x14ac:dyDescent="0.3">
      <c r="A54" s="73"/>
      <c r="B54" s="9"/>
      <c r="C54" s="8"/>
      <c r="D54" s="10"/>
      <c r="E54" s="8"/>
      <c r="F54" s="8"/>
      <c r="G54" s="10"/>
      <c r="H54" s="10"/>
      <c r="I54" s="6"/>
    </row>
    <row r="55" spans="1:9" x14ac:dyDescent="0.25">
      <c r="A55" s="72" t="s">
        <v>25</v>
      </c>
      <c r="B55" s="11"/>
      <c r="C55" s="12"/>
      <c r="D55" s="12"/>
      <c r="E55" s="12"/>
      <c r="F55" s="12"/>
      <c r="G55" s="12"/>
      <c r="H55" s="12"/>
      <c r="I55" s="6">
        <f>SUM(B55:H56)</f>
        <v>0</v>
      </c>
    </row>
    <row r="56" spans="1:9" ht="15.75" thickBot="1" x14ac:dyDescent="0.3">
      <c r="A56" s="73"/>
      <c r="B56" s="11"/>
      <c r="C56" s="5"/>
      <c r="D56" s="5"/>
      <c r="E56" s="5"/>
      <c r="F56" s="5"/>
      <c r="G56" s="5"/>
      <c r="H56" s="5"/>
      <c r="I56" s="6"/>
    </row>
    <row r="57" spans="1:9" x14ac:dyDescent="0.25">
      <c r="A57" s="72" t="s">
        <v>26</v>
      </c>
      <c r="B57" s="7"/>
      <c r="C57" s="8"/>
      <c r="D57" s="8"/>
      <c r="E57" s="8"/>
      <c r="F57" s="8"/>
      <c r="G57" s="8"/>
      <c r="H57" s="8"/>
      <c r="I57" s="6">
        <f>SUM(B57:H58)</f>
        <v>0</v>
      </c>
    </row>
    <row r="58" spans="1:9" ht="15.75" thickBot="1" x14ac:dyDescent="0.3">
      <c r="A58" s="73"/>
      <c r="B58" s="7"/>
      <c r="C58" s="10"/>
      <c r="D58" s="10"/>
      <c r="E58" s="10"/>
      <c r="F58" s="10"/>
      <c r="G58" s="10"/>
      <c r="H58" s="10"/>
      <c r="I58" s="6"/>
    </row>
    <row r="59" spans="1:9" x14ac:dyDescent="0.25">
      <c r="A59" s="72" t="s">
        <v>27</v>
      </c>
      <c r="B59" s="11"/>
      <c r="C59" s="12"/>
      <c r="D59" s="12"/>
      <c r="E59" s="12"/>
      <c r="F59" s="12"/>
      <c r="G59" s="12"/>
      <c r="H59" s="12"/>
      <c r="I59" s="6">
        <f>SUM(B59:H60)</f>
        <v>0</v>
      </c>
    </row>
    <row r="60" spans="1:9" ht="15.75" thickBot="1" x14ac:dyDescent="0.3">
      <c r="A60" s="73"/>
      <c r="B60" s="4"/>
      <c r="C60" s="5"/>
      <c r="D60" s="5"/>
      <c r="E60" s="5"/>
      <c r="F60" s="5"/>
      <c r="G60" s="5"/>
      <c r="H60" s="5"/>
      <c r="I60" s="6"/>
    </row>
    <row r="61" spans="1:9" x14ac:dyDescent="0.25">
      <c r="A61" s="72" t="s">
        <v>28</v>
      </c>
      <c r="B61" s="7"/>
      <c r="C61" s="8"/>
      <c r="D61" s="8"/>
      <c r="E61" s="8"/>
      <c r="F61" s="8"/>
      <c r="G61" s="8"/>
      <c r="H61" s="8"/>
      <c r="I61" s="6">
        <f>SUM(B61:H62)</f>
        <v>0</v>
      </c>
    </row>
    <row r="62" spans="1:9" ht="15.75" thickBot="1" x14ac:dyDescent="0.3">
      <c r="A62" s="73"/>
      <c r="B62" s="9"/>
      <c r="C62" s="10"/>
      <c r="D62" s="10"/>
      <c r="E62" s="10"/>
      <c r="F62" s="10"/>
      <c r="G62" s="10"/>
      <c r="H62" s="10"/>
      <c r="I62" s="6"/>
    </row>
    <row r="63" spans="1:9" x14ac:dyDescent="0.25">
      <c r="A63" s="72" t="s">
        <v>29</v>
      </c>
      <c r="B63" s="11"/>
      <c r="C63" s="12"/>
      <c r="D63" s="12"/>
      <c r="E63" s="12"/>
      <c r="F63" s="12"/>
      <c r="G63" s="12"/>
      <c r="H63" s="12"/>
      <c r="I63" s="6">
        <f>SUM(B63:H65)</f>
        <v>0</v>
      </c>
    </row>
    <row r="64" spans="1:9" ht="15.75" thickBot="1" x14ac:dyDescent="0.3">
      <c r="A64" s="73"/>
      <c r="B64" s="11"/>
      <c r="C64" s="5"/>
      <c r="D64" s="5"/>
      <c r="E64" s="12"/>
      <c r="F64" s="12"/>
      <c r="G64" s="12"/>
      <c r="H64" s="12"/>
      <c r="I64" s="6"/>
    </row>
    <row r="65" spans="1:9" ht="15.75" thickBot="1" x14ac:dyDescent="0.3">
      <c r="A65" s="18"/>
      <c r="B65" s="11"/>
      <c r="C65" s="5"/>
      <c r="D65" s="5"/>
      <c r="E65" s="12"/>
      <c r="F65" s="12"/>
      <c r="G65" s="12"/>
      <c r="H65" s="12"/>
      <c r="I65" s="6"/>
    </row>
    <row r="66" spans="1:9" ht="15.75" thickBot="1" x14ac:dyDescent="0.3">
      <c r="A66" s="1" t="s">
        <v>8</v>
      </c>
      <c r="B66" s="13">
        <f>SUM(B51:B65)</f>
        <v>0</v>
      </c>
      <c r="C66" s="14">
        <f t="shared" ref="C66:H66" si="2">SUM(C51:C65)</f>
        <v>0</v>
      </c>
      <c r="D66" s="14">
        <f t="shared" si="2"/>
        <v>0</v>
      </c>
      <c r="E66" s="14">
        <f t="shared" si="2"/>
        <v>0</v>
      </c>
      <c r="F66" s="14">
        <f t="shared" si="2"/>
        <v>0</v>
      </c>
      <c r="G66" s="14">
        <f t="shared" si="2"/>
        <v>0</v>
      </c>
      <c r="H66" s="14">
        <f t="shared" si="2"/>
        <v>0</v>
      </c>
      <c r="I66" s="15"/>
    </row>
    <row r="67" spans="1:9" ht="24" thickBot="1" x14ac:dyDescent="0.3">
      <c r="A67" s="2" t="s">
        <v>9</v>
      </c>
      <c r="B67" s="59">
        <f>SUM(B66:H66)</f>
        <v>0</v>
      </c>
      <c r="C67" s="60"/>
      <c r="D67" s="60"/>
      <c r="E67" s="60"/>
      <c r="F67" s="60"/>
      <c r="G67" s="60"/>
      <c r="H67" s="60"/>
      <c r="I67" s="16"/>
    </row>
    <row r="68" spans="1:9" ht="45.75" thickBot="1" x14ac:dyDescent="0.3">
      <c r="A68" s="3" t="s">
        <v>10</v>
      </c>
      <c r="B68" s="77">
        <f>B67+'TUẦN 3'!B67:H67+'TUẦN 2'!B67:H67+'TUẦN 1'!B67:H67</f>
        <v>1413.1100000000001</v>
      </c>
      <c r="C68" s="78"/>
      <c r="D68" s="78"/>
      <c r="E68" s="78"/>
      <c r="F68" s="78"/>
      <c r="G68" s="78"/>
      <c r="H68" s="78"/>
      <c r="I68" s="90"/>
    </row>
    <row r="69" spans="1:9" ht="15.75" thickTop="1" x14ac:dyDescent="0.25"/>
    <row r="71" spans="1:9" ht="42.75" customHeight="1" thickBot="1" x14ac:dyDescent="0.3">
      <c r="A71" s="63" t="s">
        <v>15</v>
      </c>
      <c r="B71" s="63"/>
      <c r="C71" s="63"/>
      <c r="D71" s="63"/>
      <c r="E71" s="63"/>
      <c r="F71" s="63"/>
      <c r="G71" s="63"/>
      <c r="H71" s="63"/>
      <c r="I71" s="63"/>
    </row>
    <row r="72" spans="1:9" ht="15.75" thickTop="1" x14ac:dyDescent="0.25">
      <c r="A72" s="61" t="s">
        <v>0</v>
      </c>
      <c r="B72" s="66">
        <v>46385</v>
      </c>
      <c r="C72" s="68">
        <v>46386</v>
      </c>
      <c r="D72" s="68">
        <v>46387</v>
      </c>
      <c r="E72" s="68">
        <v>46023</v>
      </c>
      <c r="F72" s="68">
        <v>46024</v>
      </c>
      <c r="G72" s="68">
        <v>46025</v>
      </c>
      <c r="H72" s="68">
        <v>46026</v>
      </c>
      <c r="I72" s="64" t="s">
        <v>11</v>
      </c>
    </row>
    <row r="73" spans="1:9" ht="15.75" thickBot="1" x14ac:dyDescent="0.3">
      <c r="A73" s="62"/>
      <c r="B73" s="67"/>
      <c r="C73" s="69"/>
      <c r="D73" s="69"/>
      <c r="E73" s="69"/>
      <c r="F73" s="69"/>
      <c r="G73" s="69"/>
      <c r="H73" s="69"/>
      <c r="I73" s="65"/>
    </row>
    <row r="74" spans="1:9" x14ac:dyDescent="0.25">
      <c r="A74" s="72" t="s">
        <v>30</v>
      </c>
      <c r="B74" s="11"/>
      <c r="C74" s="12"/>
      <c r="D74" s="12"/>
      <c r="E74" s="12"/>
      <c r="F74" s="12">
        <v>150</v>
      </c>
      <c r="G74" s="12"/>
      <c r="H74" s="12"/>
      <c r="I74" s="6">
        <f>SUM(B74:H75)</f>
        <v>150</v>
      </c>
    </row>
    <row r="75" spans="1:9" ht="15.75" thickBot="1" x14ac:dyDescent="0.3">
      <c r="A75" s="73"/>
      <c r="B75" s="4"/>
      <c r="C75" s="5"/>
      <c r="D75" s="5"/>
      <c r="E75" s="5"/>
      <c r="F75" s="5"/>
      <c r="G75" s="5"/>
      <c r="H75" s="5"/>
      <c r="I75" s="6"/>
    </row>
    <row r="76" spans="1:9" x14ac:dyDescent="0.25">
      <c r="A76" s="72" t="s">
        <v>31</v>
      </c>
      <c r="B76" s="7"/>
      <c r="C76" s="8"/>
      <c r="D76" s="8"/>
      <c r="E76" s="8"/>
      <c r="F76" s="8"/>
      <c r="G76" s="8"/>
      <c r="H76" s="8"/>
      <c r="I76" s="6">
        <f>SUM(B76:H77)</f>
        <v>0</v>
      </c>
    </row>
    <row r="77" spans="1:9" ht="15.75" thickBot="1" x14ac:dyDescent="0.3">
      <c r="A77" s="73"/>
      <c r="B77" s="9"/>
      <c r="C77" s="8"/>
      <c r="D77" s="10"/>
      <c r="E77" s="8"/>
      <c r="F77" s="8"/>
      <c r="G77" s="10"/>
      <c r="H77" s="10"/>
      <c r="I77" s="6"/>
    </row>
    <row r="78" spans="1:9" x14ac:dyDescent="0.25">
      <c r="A78" s="72" t="s">
        <v>32</v>
      </c>
      <c r="B78" s="11"/>
      <c r="C78" s="12"/>
      <c r="D78" s="12"/>
      <c r="E78" s="12"/>
      <c r="F78" s="12"/>
      <c r="G78" s="12"/>
      <c r="H78" s="12"/>
      <c r="I78" s="6">
        <f>SUM(B78:H79)</f>
        <v>0</v>
      </c>
    </row>
    <row r="79" spans="1:9" ht="15.75" thickBot="1" x14ac:dyDescent="0.3">
      <c r="A79" s="73"/>
      <c r="B79" s="11"/>
      <c r="C79" s="5"/>
      <c r="D79" s="5"/>
      <c r="E79" s="5"/>
      <c r="F79" s="5"/>
      <c r="G79" s="5"/>
      <c r="H79" s="5"/>
      <c r="I79" s="6"/>
    </row>
    <row r="80" spans="1:9" x14ac:dyDescent="0.25">
      <c r="A80" s="72" t="s">
        <v>33</v>
      </c>
      <c r="B80" s="7"/>
      <c r="C80" s="8"/>
      <c r="D80" s="8"/>
      <c r="E80" s="8"/>
      <c r="F80" s="8"/>
      <c r="G80" s="8"/>
      <c r="H80" s="8"/>
      <c r="I80" s="6">
        <f>SUM(B80:H81)</f>
        <v>0</v>
      </c>
    </row>
    <row r="81" spans="1:9" ht="15.75" thickBot="1" x14ac:dyDescent="0.3">
      <c r="A81" s="73"/>
      <c r="B81" s="7"/>
      <c r="C81" s="10"/>
      <c r="D81" s="10"/>
      <c r="E81" s="10"/>
      <c r="F81" s="10"/>
      <c r="G81" s="10"/>
      <c r="H81" s="10"/>
      <c r="I81" s="6"/>
    </row>
    <row r="82" spans="1:9" x14ac:dyDescent="0.25">
      <c r="A82" s="72" t="s">
        <v>34</v>
      </c>
      <c r="B82" s="11"/>
      <c r="C82" s="12"/>
      <c r="D82" s="12"/>
      <c r="E82" s="12"/>
      <c r="F82" s="12"/>
      <c r="G82" s="12"/>
      <c r="H82" s="12"/>
      <c r="I82" s="6">
        <f>SUM(B82:H83)</f>
        <v>0</v>
      </c>
    </row>
    <row r="83" spans="1:9" ht="15.75" thickBot="1" x14ac:dyDescent="0.3">
      <c r="A83" s="73"/>
      <c r="B83" s="4"/>
      <c r="C83" s="5"/>
      <c r="D83" s="5"/>
      <c r="E83" s="5"/>
      <c r="F83" s="5"/>
      <c r="G83" s="5"/>
      <c r="H83" s="5"/>
      <c r="I83" s="6"/>
    </row>
    <row r="84" spans="1:9" x14ac:dyDescent="0.25">
      <c r="A84" s="72" t="s">
        <v>35</v>
      </c>
      <c r="B84" s="7"/>
      <c r="C84" s="8"/>
      <c r="D84" s="8"/>
      <c r="E84" s="8"/>
      <c r="F84" s="8"/>
      <c r="G84" s="8"/>
      <c r="H84" s="8"/>
      <c r="I84" s="6">
        <f>SUM(B84:H85)</f>
        <v>0</v>
      </c>
    </row>
    <row r="85" spans="1:9" ht="15.75" thickBot="1" x14ac:dyDescent="0.3">
      <c r="A85" s="73"/>
      <c r="B85" s="9"/>
      <c r="C85" s="10"/>
      <c r="D85" s="10"/>
      <c r="E85" s="10"/>
      <c r="F85" s="10"/>
      <c r="G85" s="10"/>
      <c r="H85" s="10"/>
      <c r="I85" s="6"/>
    </row>
    <row r="86" spans="1:9" x14ac:dyDescent="0.25">
      <c r="A86" s="72" t="s">
        <v>36</v>
      </c>
      <c r="B86" s="11"/>
      <c r="C86" s="12"/>
      <c r="D86" s="12"/>
      <c r="E86" s="12"/>
      <c r="F86" s="12"/>
      <c r="G86" s="12"/>
      <c r="H86" s="12"/>
      <c r="I86" s="6">
        <f>SUM(B86:H89)</f>
        <v>0</v>
      </c>
    </row>
    <row r="87" spans="1:9" ht="15.75" thickBot="1" x14ac:dyDescent="0.3">
      <c r="A87" s="73"/>
      <c r="B87" s="11"/>
      <c r="C87" s="5"/>
      <c r="D87" s="5"/>
      <c r="E87" s="12"/>
      <c r="F87" s="12"/>
      <c r="G87" s="12"/>
      <c r="H87" s="12"/>
      <c r="I87" s="6"/>
    </row>
    <row r="88" spans="1:9" ht="15.75" thickBot="1" x14ac:dyDescent="0.3">
      <c r="A88" s="18"/>
      <c r="B88" s="11"/>
      <c r="C88" s="5"/>
      <c r="D88" s="5"/>
      <c r="E88" s="12"/>
      <c r="F88" s="12"/>
      <c r="G88" s="12"/>
      <c r="H88" s="12"/>
      <c r="I88" s="6"/>
    </row>
    <row r="89" spans="1:9" ht="15.75" thickBot="1" x14ac:dyDescent="0.3">
      <c r="A89" s="18"/>
      <c r="B89" s="11"/>
      <c r="C89" s="5"/>
      <c r="D89" s="5"/>
      <c r="E89" s="12"/>
      <c r="F89" s="12"/>
      <c r="G89" s="12"/>
      <c r="H89" s="12"/>
      <c r="I89" s="6"/>
    </row>
    <row r="90" spans="1:9" ht="15.75" thickBot="1" x14ac:dyDescent="0.3">
      <c r="A90" s="1" t="s">
        <v>8</v>
      </c>
      <c r="B90" s="13">
        <f>SUM(B74:B89)</f>
        <v>0</v>
      </c>
      <c r="C90" s="14">
        <f t="shared" ref="C90:H90" si="3">SUM(C74:C89)</f>
        <v>0</v>
      </c>
      <c r="D90" s="14">
        <f t="shared" si="3"/>
        <v>0</v>
      </c>
      <c r="E90" s="14">
        <f t="shared" si="3"/>
        <v>0</v>
      </c>
      <c r="F90" s="14">
        <f t="shared" si="3"/>
        <v>150</v>
      </c>
      <c r="G90" s="14">
        <f t="shared" si="3"/>
        <v>0</v>
      </c>
      <c r="H90" s="14">
        <f t="shared" si="3"/>
        <v>0</v>
      </c>
      <c r="I90" s="15"/>
    </row>
    <row r="91" spans="1:9" ht="24" thickBot="1" x14ac:dyDescent="0.3">
      <c r="A91" s="2" t="s">
        <v>9</v>
      </c>
      <c r="B91" s="59">
        <f>SUM(B90:H90)</f>
        <v>150</v>
      </c>
      <c r="C91" s="60"/>
      <c r="D91" s="60"/>
      <c r="E91" s="60"/>
      <c r="F91" s="60"/>
      <c r="G91" s="60"/>
      <c r="H91" s="60"/>
      <c r="I91" s="16"/>
    </row>
    <row r="92" spans="1:9" ht="45.75" thickBot="1" x14ac:dyDescent="0.3">
      <c r="A92" s="3" t="s">
        <v>10</v>
      </c>
      <c r="B92" s="77">
        <f>B91+'TUẦN 3'!B90:H90+'TUẦN 2'!B91:H91+'TUẦN 1'!B91:H91</f>
        <v>1353.16</v>
      </c>
      <c r="C92" s="78"/>
      <c r="D92" s="78"/>
      <c r="E92" s="78"/>
      <c r="F92" s="78"/>
      <c r="G92" s="78"/>
      <c r="H92" s="78"/>
      <c r="I92" s="90"/>
    </row>
    <row r="93" spans="1:9" ht="15.75" thickTop="1" x14ac:dyDescent="0.25"/>
  </sheetData>
  <mergeCells count="76">
    <mergeCell ref="I49:I50"/>
    <mergeCell ref="A63:A64"/>
    <mergeCell ref="A71:I71"/>
    <mergeCell ref="B72:B73"/>
    <mergeCell ref="C72:C73"/>
    <mergeCell ref="D72:D73"/>
    <mergeCell ref="E72:E73"/>
    <mergeCell ref="F72:F73"/>
    <mergeCell ref="G72:G73"/>
    <mergeCell ref="B49:B50"/>
    <mergeCell ref="C49:C50"/>
    <mergeCell ref="D49:D50"/>
    <mergeCell ref="B68:I68"/>
    <mergeCell ref="B92:I92"/>
    <mergeCell ref="A40:A41"/>
    <mergeCell ref="A48:I48"/>
    <mergeCell ref="A86:A87"/>
    <mergeCell ref="B91:H91"/>
    <mergeCell ref="H72:H73"/>
    <mergeCell ref="I72:I73"/>
    <mergeCell ref="B67:H67"/>
    <mergeCell ref="B44:H44"/>
    <mergeCell ref="A84:A85"/>
    <mergeCell ref="A80:A81"/>
    <mergeCell ref="A82:A83"/>
    <mergeCell ref="E49:E50"/>
    <mergeCell ref="F49:F50"/>
    <mergeCell ref="B45:I45"/>
    <mergeCell ref="A38:A39"/>
    <mergeCell ref="A26:A27"/>
    <mergeCell ref="A28:A29"/>
    <mergeCell ref="A30:A31"/>
    <mergeCell ref="A32:A33"/>
    <mergeCell ref="A25:I25"/>
    <mergeCell ref="B26:B27"/>
    <mergeCell ref="C26:C27"/>
    <mergeCell ref="D26:D27"/>
    <mergeCell ref="E26:E27"/>
    <mergeCell ref="F26:F27"/>
    <mergeCell ref="G26:G27"/>
    <mergeCell ref="H26:H27"/>
    <mergeCell ref="I26:I27"/>
    <mergeCell ref="B22:I22"/>
    <mergeCell ref="B21:H21"/>
    <mergeCell ref="A72:A73"/>
    <mergeCell ref="A74:A75"/>
    <mergeCell ref="A76:A77"/>
    <mergeCell ref="A78:A79"/>
    <mergeCell ref="A53:A54"/>
    <mergeCell ref="A55:A56"/>
    <mergeCell ref="A57:A58"/>
    <mergeCell ref="A59:A60"/>
    <mergeCell ref="A61:A62"/>
    <mergeCell ref="A49:A50"/>
    <mergeCell ref="A51:A52"/>
    <mergeCell ref="G49:G50"/>
    <mergeCell ref="H49:H50"/>
    <mergeCell ref="A34:A35"/>
    <mergeCell ref="A36:A37"/>
    <mergeCell ref="A16:A17"/>
    <mergeCell ref="A4:A5"/>
    <mergeCell ref="A6:A7"/>
    <mergeCell ref="A8:A9"/>
    <mergeCell ref="A10:A11"/>
    <mergeCell ref="A12:A13"/>
    <mergeCell ref="A14:A15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TUẦN 1</vt:lpstr>
      <vt:lpstr>TUẦN 2</vt:lpstr>
      <vt:lpstr>TUẦN 3</vt:lpstr>
      <vt:lpstr>TUẦN 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Quyết</dc:creator>
  <cp:lastModifiedBy>Nguyễn Quyết</cp:lastModifiedBy>
  <dcterms:created xsi:type="dcterms:W3CDTF">2026-01-05T07:19:37Z</dcterms:created>
  <dcterms:modified xsi:type="dcterms:W3CDTF">2026-01-08T08:37:07Z</dcterms:modified>
</cp:coreProperties>
</file>